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456" windowHeight="19656" tabRatio="600" firstSheet="3" activeTab="6" autoFilterDateGrouping="1"/>
  </bookViews>
  <sheets>
    <sheet xmlns:r="http://schemas.openxmlformats.org/officeDocument/2006/relationships" name="Inventar" sheetId="1" state="visible" r:id="rId1"/>
    <sheet xmlns:r="http://schemas.openxmlformats.org/officeDocument/2006/relationships" name="Raumliste Hardware" sheetId="2" state="visible" r:id="rId2"/>
    <sheet xmlns:r="http://schemas.openxmlformats.org/officeDocument/2006/relationships" name="Bedarfsanalyse 2025" sheetId="3" state="visible" r:id="rId3"/>
    <sheet xmlns:r="http://schemas.openxmlformats.org/officeDocument/2006/relationships" name="Bedarfsanalyse 2024" sheetId="4" state="visible" r:id="rId4"/>
    <sheet xmlns:r="http://schemas.openxmlformats.org/officeDocument/2006/relationships" name="Bedarfsanalyse" sheetId="5" state="visible" r:id="rId5"/>
    <sheet xmlns:r="http://schemas.openxmlformats.org/officeDocument/2006/relationships" name="Smartphones" sheetId="6" state="visible" r:id="rId6"/>
    <sheet xmlns:r="http://schemas.openxmlformats.org/officeDocument/2006/relationships" name="Notebooks" sheetId="7" state="visible" r:id="rId7"/>
    <sheet xmlns:r="http://schemas.openxmlformats.org/officeDocument/2006/relationships" name="Headset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\ [$€-407]_-;\-* #,##0.00\ [$€-407]_-;_-* &quot;-&quot;??\ [$€-407]_-;_-@_-"/>
    <numFmt numFmtId="165" formatCode="#,##0.00_ ;\-#,##0.00\ "/>
    <numFmt numFmtId="166" formatCode="dd/mm/yy"/>
  </numFmts>
  <fonts count="18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rgb="FFFFFFFF"/>
      <sz val="14"/>
      <scheme val="minor"/>
    </font>
    <font>
      <name val="SF Pro Text"/>
      <charset val="1"/>
      <color rgb="FF000000"/>
      <sz val="11"/>
    </font>
    <font>
      <name val="Calibri"/>
      <family val="2"/>
      <color theme="10"/>
      <sz val="12"/>
      <u val="single"/>
      <scheme val="minor"/>
    </font>
    <font>
      <name val="Calibri"/>
      <family val="2"/>
      <color theme="1"/>
      <sz val="48"/>
      <scheme val="minor"/>
    </font>
    <font>
      <name val="Calibri"/>
      <family val="2"/>
      <color theme="0"/>
      <sz val="16"/>
      <scheme val="minor"/>
    </font>
    <font>
      <name val="Calibri"/>
      <family val="2"/>
      <color theme="1"/>
      <sz val="12"/>
      <scheme val="minor"/>
    </font>
    <font>
      <name val="Arial Narrow"/>
      <family val="2"/>
      <color theme="1"/>
      <sz val="48"/>
    </font>
    <font>
      <name val="Calibri"/>
      <family val="2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0000"/>
      <sz val="22"/>
      <scheme val="minor"/>
    </font>
  </fonts>
  <fills count="9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13" fillId="0" borderId="0"/>
    <xf numFmtId="0" fontId="10" fillId="0" borderId="0"/>
    <xf numFmtId="0" fontId="10" fillId="0" borderId="0"/>
  </cellStyleXfs>
  <cellXfs count="167">
    <xf numFmtId="0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1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wrapText="1"/>
    </xf>
    <xf numFmtId="14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6" pivotButton="0" quotePrefix="0" xfId="0"/>
    <xf numFmtId="0" fontId="3" fillId="2" borderId="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2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2" pivotButton="0" quotePrefix="0" xfId="0"/>
    <xf numFmtId="0" fontId="0" fillId="0" borderId="24" pivotButton="0" quotePrefix="0" xfId="0"/>
    <xf numFmtId="0" fontId="0" fillId="0" borderId="23" applyAlignment="1" pivotButton="0" quotePrefix="0" xfId="0">
      <alignment horizontal="center"/>
    </xf>
    <xf numFmtId="0" fontId="3" fillId="2" borderId="28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0" fontId="8" fillId="3" borderId="1" pivotButton="0" quotePrefix="0" xfId="0"/>
    <xf numFmtId="0" fontId="8" fillId="3" borderId="31" pivotButton="0" quotePrefix="0" xfId="0"/>
    <xf numFmtId="0" fontId="6" fillId="0" borderId="32" pivotButton="0" quotePrefix="0" xfId="0"/>
    <xf numFmtId="0" fontId="5" fillId="0" borderId="33" pivotButton="0" quotePrefix="0" xfId="0"/>
    <xf numFmtId="0" fontId="5" fillId="0" borderId="0" pivotButton="0" quotePrefix="0" xfId="0"/>
    <xf numFmtId="0" fontId="5" fillId="0" borderId="32" pivotButton="0" quotePrefix="0" xfId="0"/>
    <xf numFmtId="0" fontId="5" fillId="0" borderId="33" applyAlignment="1" pivotButton="0" quotePrefix="0" xfId="0">
      <alignment wrapText="1"/>
    </xf>
    <xf numFmtId="0" fontId="5" fillId="0" borderId="31" pivotButton="0" quotePrefix="0" xfId="0"/>
    <xf numFmtId="0" fontId="9" fillId="0" borderId="0" pivotButton="0" quotePrefix="0" xfId="0"/>
    <xf numFmtId="0" fontId="11" fillId="0" borderId="0" pivotButton="0" quotePrefix="0" xfId="0"/>
    <xf numFmtId="0" fontId="0" fillId="0" borderId="34" pivotButton="0" quotePrefix="0" xfId="0"/>
    <xf numFmtId="0" fontId="0" fillId="0" borderId="34" applyAlignment="1" pivotButton="0" quotePrefix="0" xfId="0">
      <alignment wrapText="1"/>
    </xf>
    <xf numFmtId="164" fontId="0" fillId="0" borderId="34" pivotButton="0" quotePrefix="0" xfId="0"/>
    <xf numFmtId="0" fontId="10" fillId="0" borderId="34" applyAlignment="1" pivotButton="0" quotePrefix="0" xfId="1">
      <alignment wrapText="1"/>
    </xf>
    <xf numFmtId="0" fontId="0" fillId="4" borderId="34" pivotButton="0" quotePrefix="0" xfId="0"/>
    <xf numFmtId="0" fontId="0" fillId="4" borderId="34" applyAlignment="1" pivotButton="0" quotePrefix="0" xfId="0">
      <alignment wrapText="1"/>
    </xf>
    <xf numFmtId="164" fontId="0" fillId="4" borderId="34" pivotButton="0" quotePrefix="0" xfId="0"/>
    <xf numFmtId="164" fontId="0" fillId="4" borderId="35" pivotButton="0" quotePrefix="0" xfId="0"/>
    <xf numFmtId="0" fontId="0" fillId="0" borderId="36" pivotButton="0" quotePrefix="0" xfId="0"/>
    <xf numFmtId="0" fontId="0" fillId="4" borderId="36" pivotButton="0" quotePrefix="0" xfId="0"/>
    <xf numFmtId="164" fontId="0" fillId="0" borderId="35" pivotButton="0" quotePrefix="0" xfId="0"/>
    <xf numFmtId="0" fontId="10" fillId="0" borderId="34" applyAlignment="1" pivotButton="0" quotePrefix="0" xfId="2">
      <alignment wrapText="1"/>
    </xf>
    <xf numFmtId="0" fontId="0" fillId="0" borderId="0" applyAlignment="1" pivotButton="0" quotePrefix="0" xfId="0">
      <alignment wrapText="1"/>
    </xf>
    <xf numFmtId="14" fontId="10" fillId="0" borderId="34" applyAlignment="1" pivotButton="0" quotePrefix="0" xfId="1">
      <alignment wrapText="1"/>
    </xf>
    <xf numFmtId="14" fontId="10" fillId="0" borderId="34" applyAlignment="1" pivotButton="0" quotePrefix="0" xfId="2">
      <alignment wrapText="1"/>
    </xf>
    <xf numFmtId="14" fontId="0" fillId="4" borderId="34" applyAlignment="1" pivotButton="0" quotePrefix="0" xfId="0">
      <alignment wrapText="1"/>
    </xf>
    <xf numFmtId="14" fontId="0" fillId="0" borderId="34" applyAlignment="1" pivotButton="0" quotePrefix="0" xfId="0">
      <alignment wrapText="1"/>
    </xf>
    <xf numFmtId="0" fontId="0" fillId="0" borderId="35" applyAlignment="1" pivotButton="0" quotePrefix="0" xfId="0">
      <alignment wrapText="1"/>
    </xf>
    <xf numFmtId="0" fontId="0" fillId="0" borderId="35" pivotButton="0" quotePrefix="0" xfId="0"/>
    <xf numFmtId="0" fontId="0" fillId="4" borderId="35" applyAlignment="1" pivotButton="0" quotePrefix="0" xfId="0">
      <alignment wrapText="1"/>
    </xf>
    <xf numFmtId="0" fontId="12" fillId="2" borderId="38" pivotButton="0" quotePrefix="0" xfId="0"/>
    <xf numFmtId="0" fontId="12" fillId="2" borderId="39" pivotButton="0" quotePrefix="0" xfId="0"/>
    <xf numFmtId="0" fontId="12" fillId="2" borderId="40" pivotButton="0" quotePrefix="0" xfId="0"/>
    <xf numFmtId="0" fontId="12" fillId="2" borderId="39" applyAlignment="1" pivotButton="0" quotePrefix="0" xfId="0">
      <alignment wrapText="1"/>
    </xf>
    <xf numFmtId="0" fontId="12" fillId="2" borderId="41" pivotButton="0" quotePrefix="0" xfId="0"/>
    <xf numFmtId="0" fontId="0" fillId="0" borderId="42" pivotButton="0" quotePrefix="0" xfId="0"/>
    <xf numFmtId="0" fontId="0" fillId="0" borderId="37" pivotButton="0" quotePrefix="0" xfId="0"/>
    <xf numFmtId="164" fontId="0" fillId="0" borderId="43" pivotButton="0" quotePrefix="0" xfId="0"/>
    <xf numFmtId="164" fontId="0" fillId="0" borderId="37" pivotButton="0" quotePrefix="0" xfId="0"/>
    <xf numFmtId="164" fontId="0" fillId="4" borderId="37" pivotButton="0" quotePrefix="0" xfId="0"/>
    <xf numFmtId="0" fontId="0" fillId="0" borderId="37" applyAlignment="1" pivotButton="0" quotePrefix="0" xfId="0">
      <alignment wrapText="1"/>
    </xf>
    <xf numFmtId="14" fontId="0" fillId="0" borderId="37" applyAlignment="1" pivotButton="0" quotePrefix="0" xfId="0">
      <alignment wrapText="1"/>
    </xf>
    <xf numFmtId="0" fontId="0" fillId="0" borderId="43" pivotButton="0" quotePrefix="0" xfId="0"/>
    <xf numFmtId="164" fontId="0" fillId="5" borderId="34" pivotButton="0" quotePrefix="0" xfId="0"/>
    <xf numFmtId="165" fontId="0" fillId="0" borderId="34" pivotButton="0" quotePrefix="0" xfId="0"/>
    <xf numFmtId="164" fontId="0" fillId="6" borderId="34" pivotButton="0" quotePrefix="0" xfId="0"/>
    <xf numFmtId="164" fontId="0" fillId="0" borderId="0" pivotButton="0" quotePrefix="0" xfId="0"/>
    <xf numFmtId="0" fontId="14" fillId="0" borderId="0" pivotButton="0" quotePrefix="0" xfId="0"/>
    <xf numFmtId="14" fontId="13" fillId="0" borderId="34" applyAlignment="1" pivotButton="0" quotePrefix="0" xfId="1">
      <alignment wrapText="1"/>
    </xf>
    <xf numFmtId="14" fontId="0" fillId="0" borderId="35" pivotButton="0" quotePrefix="0" xfId="0"/>
    <xf numFmtId="0" fontId="12" fillId="2" borderId="40" applyAlignment="1" pivotButton="0" quotePrefix="0" xfId="0">
      <alignment wrapText="1"/>
    </xf>
    <xf numFmtId="0" fontId="10" fillId="0" borderId="37" applyAlignment="1" pivotButton="0" quotePrefix="0" xfId="1">
      <alignment wrapText="1"/>
    </xf>
    <xf numFmtId="0" fontId="0" fillId="4" borderId="35" pivotButton="0" quotePrefix="0" xfId="0"/>
    <xf numFmtId="0" fontId="0" fillId="7" borderId="35" applyAlignment="1" pivotButton="0" quotePrefix="0" xfId="0">
      <alignment wrapText="1"/>
    </xf>
    <xf numFmtId="0" fontId="0" fillId="7" borderId="35" pivotButton="0" quotePrefix="0" xfId="0"/>
    <xf numFmtId="49" fontId="0" fillId="0" borderId="35" applyAlignment="1" pivotButton="0" quotePrefix="0" xfId="0">
      <alignment horizontal="right"/>
    </xf>
    <xf numFmtId="49" fontId="5" fillId="0" borderId="35" applyAlignment="1" pivotButton="0" quotePrefix="0" xfId="0">
      <alignment horizontal="right"/>
    </xf>
    <xf numFmtId="0" fontId="0" fillId="0" borderId="26" pivotButton="0" quotePrefix="0" xfId="0"/>
    <xf numFmtId="0" fontId="16" fillId="0" borderId="0" pivotButton="0" quotePrefix="0" xfId="0"/>
    <xf numFmtId="0" fontId="17" fillId="0" borderId="0" pivotButton="0" quotePrefix="0" xfId="0"/>
    <xf numFmtId="0" fontId="6" fillId="0" borderId="13" applyAlignment="1" pivotButton="0" quotePrefix="0" xfId="0">
      <alignment horizontal="center" wrapText="1"/>
    </xf>
    <xf numFmtId="0" fontId="0" fillId="0" borderId="14" pivotButton="0" quotePrefix="0" xfId="0"/>
    <xf numFmtId="0" fontId="5" fillId="0" borderId="26" pivotButton="0" quotePrefix="0" xfId="0"/>
    <xf numFmtId="14" fontId="0" fillId="0" borderId="43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wrapText="1"/>
    </xf>
    <xf numFmtId="0" fontId="0" fillId="0" borderId="43" applyAlignment="1" pivotButton="0" quotePrefix="0" xfId="0">
      <alignment wrapText="1"/>
    </xf>
    <xf numFmtId="165" fontId="0" fillId="0" borderId="37" pivotButton="0" quotePrefix="0" xfId="0"/>
    <xf numFmtId="164" fontId="0" fillId="5" borderId="37" pivotButton="0" quotePrefix="0" xfId="0"/>
    <xf numFmtId="0" fontId="0" fillId="4" borderId="38" pivotButton="0" quotePrefix="0" xfId="0"/>
    <xf numFmtId="0" fontId="0" fillId="4" borderId="39" pivotButton="0" quotePrefix="0" xfId="0"/>
    <xf numFmtId="0" fontId="0" fillId="4" borderId="41" pivotButton="0" quotePrefix="0" xfId="0"/>
    <xf numFmtId="164" fontId="0" fillId="4" borderId="41" pivotButton="0" quotePrefix="0" xfId="0"/>
    <xf numFmtId="165" fontId="0" fillId="0" borderId="39" pivotButton="0" quotePrefix="0" xfId="0"/>
    <xf numFmtId="164" fontId="0" fillId="0" borderId="39" pivotButton="0" quotePrefix="0" xfId="0"/>
    <xf numFmtId="164" fontId="0" fillId="4" borderId="39" pivotButton="0" quotePrefix="0" xfId="0"/>
    <xf numFmtId="0" fontId="0" fillId="4" borderId="39" applyAlignment="1" pivotButton="0" quotePrefix="0" xfId="0">
      <alignment wrapText="1"/>
    </xf>
    <xf numFmtId="14" fontId="0" fillId="4" borderId="39" applyAlignment="1" pivotButton="0" quotePrefix="0" xfId="0">
      <alignment wrapText="1"/>
    </xf>
    <xf numFmtId="0" fontId="0" fillId="0" borderId="39" pivotButton="0" quotePrefix="0" xfId="0"/>
    <xf numFmtId="0" fontId="0" fillId="4" borderId="41" applyAlignment="1" pivotButton="0" quotePrefix="0" xfId="0">
      <alignment wrapText="1"/>
    </xf>
    <xf numFmtId="0" fontId="12" fillId="2" borderId="1" pivotButton="0" quotePrefix="0" xfId="0"/>
    <xf numFmtId="0" fontId="12" fillId="2" borderId="1" applyAlignment="1" pivotButton="0" quotePrefix="0" xfId="0">
      <alignment wrapText="1"/>
    </xf>
    <xf numFmtId="0" fontId="0" fillId="8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8" borderId="1" pivotButton="0" quotePrefix="0" xfId="0"/>
    <xf numFmtId="0" fontId="10" fillId="0" borderId="1" applyAlignment="1" pivotButton="0" quotePrefix="0" xfId="2">
      <alignment wrapText="1"/>
    </xf>
    <xf numFmtId="14" fontId="10" fillId="0" borderId="1" applyAlignment="1" pivotButton="0" quotePrefix="0" xfId="1">
      <alignment wrapText="1"/>
    </xf>
    <xf numFmtId="0" fontId="10" fillId="0" borderId="1" applyAlignment="1" pivotButton="0" quotePrefix="0" xfId="1">
      <alignment wrapText="1"/>
    </xf>
    <xf numFmtId="49" fontId="0" fillId="0" borderId="35" pivotButton="0" quotePrefix="0" xfId="0"/>
    <xf numFmtId="49" fontId="0" fillId="0" borderId="1" pivotButton="0" quotePrefix="0" xfId="0"/>
    <xf numFmtId="0" fontId="0" fillId="0" borderId="1" pivotButton="0" quotePrefix="1" xfId="0"/>
    <xf numFmtId="0" fontId="0" fillId="0" borderId="35" pivotButton="0" quotePrefix="1" xfId="0"/>
    <xf numFmtId="166" fontId="0" fillId="0" borderId="34" applyAlignment="1" pivotButton="0" quotePrefix="0" xfId="0">
      <alignment wrapText="1"/>
    </xf>
    <xf numFmtId="0" fontId="0" fillId="4" borderId="1" pivotButton="0" quotePrefix="0" xfId="0"/>
    <xf numFmtId="49" fontId="0" fillId="0" borderId="43" pivotButton="0" quotePrefix="1" xfId="0"/>
    <xf numFmtId="0" fontId="0" fillId="0" borderId="0" applyAlignment="1" pivotButton="0" quotePrefix="0" xfId="0">
      <alignment horizontal="center"/>
    </xf>
    <xf numFmtId="0" fontId="5" fillId="2" borderId="1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9" applyAlignment="1" pivotButton="0" quotePrefix="0" xfId="0">
      <alignment horizontal="center" wrapText="1"/>
    </xf>
    <xf numFmtId="0" fontId="0" fillId="0" borderId="30" applyAlignment="1" pivotButton="0" quotePrefix="0" xfId="0">
      <alignment horizontal="center" wrapText="1"/>
    </xf>
    <xf numFmtId="0" fontId="3" fillId="2" borderId="19" applyAlignment="1" pivotButton="0" quotePrefix="0" xfId="0">
      <alignment horizontal="center"/>
    </xf>
    <xf numFmtId="0" fontId="3" fillId="2" borderId="20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6" fillId="0" borderId="5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6" fillId="0" borderId="10" applyAlignment="1" pivotButton="0" quotePrefix="0" xfId="0">
      <alignment horizontal="center" wrapText="1"/>
    </xf>
    <xf numFmtId="0" fontId="1" fillId="0" borderId="5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0" borderId="20" pivotButton="0" quotePrefix="0" xfId="0"/>
    <xf numFmtId="0" fontId="0" fillId="0" borderId="48" applyAlignment="1" pivotButton="0" quotePrefix="0" xfId="0">
      <alignment horizontal="center"/>
    </xf>
    <xf numFmtId="0" fontId="0" fillId="0" borderId="15" pivotButton="0" quotePrefix="0" xfId="0"/>
    <xf numFmtId="0" fontId="0" fillId="0" borderId="17" pivotButton="0" quotePrefix="0" xfId="0"/>
    <xf numFmtId="0" fontId="0" fillId="0" borderId="47" pivotButton="0" quotePrefix="0" xfId="0"/>
    <xf numFmtId="0" fontId="0" fillId="0" borderId="27" pivotButton="0" quotePrefix="0" xfId="0"/>
    <xf numFmtId="0" fontId="0" fillId="2" borderId="45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44" applyAlignment="1" pivotButton="0" quotePrefix="0" xfId="0">
      <alignment horizontal="center" wrapText="1"/>
    </xf>
    <xf numFmtId="0" fontId="0" fillId="0" borderId="30" pivotButton="0" quotePrefix="0" xfId="0"/>
    <xf numFmtId="0" fontId="5" fillId="2" borderId="45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0" borderId="16" pivotButton="0" quotePrefix="0" xfId="0"/>
  </cellXfs>
  <cellStyles count="3">
    <cellStyle name="Standard" xfId="0" builtinId="0"/>
    <cellStyle name="Hyperlink" xfId="1"/>
    <cellStyle name="Link" xfId="2" builtinId="8"/>
  </cellStyles>
  <dxfs count="63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dd/mm/yy"/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#,##0.00_ ;\-#,##0.00\ 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indexed="64"/>
          <bgColor rgb="FFC00000"/>
        </patternFill>
      </fill>
      <alignment horizontal="general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dd/mm/yy"/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#,##0.00_ ;\-#,##0.00\ 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indexed="64"/>
          <bgColor rgb="FFC00000"/>
        </patternFill>
      </fill>
      <alignment horizontal="general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dd/mm/yy"/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#,##0.00_ ;\-#,##0.00\ 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\ [$€-407]_-;\-* #,##0.00\ [$€-407]_-;_-* &quot;-&quot;??\ [$€-407]_-;_-@_-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indexed="64"/>
          <bgColor rgb="FFC00000"/>
        </patternFill>
      </fill>
      <alignment horizontal="general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dd/mm/yy"/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indexed="64"/>
          <bgColor rgb="FFC00000"/>
        </patternFill>
      </fill>
      <alignment horizontal="general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le24" displayName="Tabelle24" ref="B3:N129" headerRowCount="1" totalsRowShown="0" headerRowDxfId="62" tableBorderDxfId="61">
  <autoFilter ref="B3:N129"/>
  <tableColumns count="13">
    <tableColumn id="1" name="Typ" dataDxfId="60"/>
    <tableColumn id="2" name="Hersteller" dataDxfId="59"/>
    <tableColumn id="3" name="Modell" dataDxfId="58"/>
    <tableColumn id="14" name="Gerätename" dataDxfId="57"/>
    <tableColumn id="15" name="Seriennummer" dataDxfId="56"/>
    <tableColumn id="16" name="Rechnung" dataDxfId="55"/>
    <tableColumn id="17" name="Rechnungsnummer" dataDxfId="54"/>
    <tableColumn id="18" name="Garantie" dataDxfId="53"/>
    <tableColumn id="19" name="Garantie Ende" dataDxfId="52"/>
    <tableColumn id="10" name="Datum Bestandsaufnahme" dataDxfId="51"/>
    <tableColumn id="11" name="Datum erhalt" dataDxfId="50"/>
    <tableColumn id="12" name="Status" dataDxfId="49"/>
    <tableColumn id="13" name="Kommentar" data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le256" displayName="Tabelle256" ref="B5:P18" headerRowCount="1" totalsRowShown="0" headerRowDxfId="47" tableBorderDxfId="46">
  <autoFilter ref="B5:P18">
    <filterColumn colId="12" hiddenButton="0" showButton="1">
      <filters blank="1">
        <filter val="offen"/>
      </filters>
    </filterColumn>
  </autoFilter>
  <tableColumns count="15">
    <tableColumn id="1" name="Typ" dataDxfId="45"/>
    <tableColumn id="2" name="Hersteller" dataDxfId="44"/>
    <tableColumn id="3" name="Modell" dataDxfId="43"/>
    <tableColumn id="15" name="Rabatt Amazon" dataDxfId="42"/>
    <tableColumn id="4" name="Preis (Brutto)" dataDxfId="41"/>
    <tableColumn id="5" name="Preis (Netto)" dataDxfId="40"/>
    <tableColumn id="6" name="MWST (19%)" dataDxfId="39"/>
    <tableColumn id="7" name="Anzahl" dataDxfId="38"/>
    <tableColumn id="8" name="Summe" dataDxfId="37"/>
    <tableColumn id="9" name="Link" dataDxfId="36"/>
    <tableColumn id="10" name="Datum Bestellung" dataDxfId="35"/>
    <tableColumn id="11" name="Datum erhalt" dataDxfId="34"/>
    <tableColumn id="12" name="Status" dataDxfId="33"/>
    <tableColumn id="13" name="Kommentar" dataDxfId="32"/>
    <tableColumn id="14" name="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elle25" displayName="Tabelle25" ref="B5:P18" headerRowCount="1" totalsRowShown="0" headerRowDxfId="31" tableBorderDxfId="30">
  <autoFilter ref="B5:P18">
    <filterColumn colId="12" hiddenButton="0" showButton="1">
      <filters blank="1">
        <filter val="offen"/>
      </filters>
    </filterColumn>
  </autoFilter>
  <tableColumns count="15">
    <tableColumn id="1" name="Typ" dataDxfId="29"/>
    <tableColumn id="2" name="Hersteller" dataDxfId="28"/>
    <tableColumn id="3" name="Modell" dataDxfId="27"/>
    <tableColumn id="15" name="Rabatt Amazon" dataDxfId="26"/>
    <tableColumn id="4" name="Preis (Brutto)" dataDxfId="25"/>
    <tableColumn id="5" name="Preis (Netto)" dataDxfId="24">
      <calculatedColumnFormula>Tabelle25[[#This Row],[Preis (Brutto)]]/119*100</calculatedColumnFormula>
    </tableColumn>
    <tableColumn id="6" name="MWST (19%)" dataDxfId="23">
      <calculatedColumnFormula>F6-Tabelle25[[#This Row],[Preis (Netto)]]</calculatedColumnFormula>
    </tableColumn>
    <tableColumn id="7" name="Anzahl" dataDxfId="22"/>
    <tableColumn id="8" name="Summe" dataDxfId="21">
      <calculatedColumnFormula>F6*I6</calculatedColumnFormula>
    </tableColumn>
    <tableColumn id="9" name="Link" dataDxfId="20"/>
    <tableColumn id="10" name="Datum Bestellung" dataDxfId="19"/>
    <tableColumn id="11" name="Datum erhalt" dataDxfId="18"/>
    <tableColumn id="12" name="Status" dataDxfId="17"/>
    <tableColumn id="13" name="Kommentar" dataDxfId="16"/>
    <tableColumn id="14" name="Nam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elle2" displayName="Tabelle2" ref="B5:P24" headerRowCount="1" totalsRowShown="0" headerRowDxfId="15" tableBorderDxfId="14">
  <autoFilter ref="B5:P24">
    <filterColumn colId="12" hiddenButton="0" showButton="1">
      <filters blank="1">
        <filter val="offen"/>
      </filters>
    </filterColumn>
  </autoFilter>
  <tableColumns count="15">
    <tableColumn id="1" name="Typ" dataDxfId="13"/>
    <tableColumn id="2" name="Hersteller" dataDxfId="12"/>
    <tableColumn id="3" name="Modell" dataDxfId="11"/>
    <tableColumn id="15" name="Rabatt Amazon" dataDxfId="10"/>
    <tableColumn id="4" name="Preis (Brutto)" dataDxfId="9"/>
    <tableColumn id="5" name="Preis (Netto)" dataDxfId="8">
      <calculatedColumnFormula>Tabelle2[[#This Row],[Preis (Brutto)]]/119*100</calculatedColumnFormula>
    </tableColumn>
    <tableColumn id="6" name="MWST (19%)" dataDxfId="7">
      <calculatedColumnFormula>F6-Tabelle2[[#This Row],[Preis (Netto)]]</calculatedColumnFormula>
    </tableColumn>
    <tableColumn id="7" name="Anzahl" dataDxfId="6"/>
    <tableColumn id="8" name="Summe" dataDxfId="5">
      <calculatedColumnFormula>F6*I6</calculatedColumnFormula>
    </tableColumn>
    <tableColumn id="9" name="Link" dataDxfId="4"/>
    <tableColumn id="10" name="Datum Bestellung" dataDxfId="3"/>
    <tableColumn id="11" name="Datum erhalt" dataDxfId="2"/>
    <tableColumn id="12" name="Status" dataDxfId="1"/>
    <tableColumn id="13" name="Kommentar" dataDxfId="0"/>
    <tableColumn id="14" name="Nam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elle1" displayName="Tabelle1" ref="C4:J14" headerRowCount="1" totalsRowShown="0">
  <autoFilter ref="C4:J14"/>
  <tableColumns count="8">
    <tableColumn id="1" name="Name"/>
    <tableColumn id="2" name="Modellbezeichnung"/>
    <tableColumn id="7" name="Farbe"/>
    <tableColumn id="3" name="Modelnummer"/>
    <tableColumn id="4" name="Seriennummer"/>
    <tableColumn id="6" name="Defekt"/>
    <tableColumn id="8" name="Nutzer"/>
    <tableColumn id="5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29"/>
  <sheetViews>
    <sheetView showGridLines="0" topLeftCell="C117" zoomScale="85" zoomScaleNormal="85" workbookViewId="0">
      <selection activeCell="G128" sqref="G128"/>
    </sheetView>
  </sheetViews>
  <sheetFormatPr baseColWidth="10" defaultColWidth="11" defaultRowHeight="15.6"/>
  <cols>
    <col width="76.69921875" bestFit="1" customWidth="1" min="2" max="2"/>
    <col width="21.796875" customWidth="1" min="3" max="3"/>
    <col width="24.5" bestFit="1" customWidth="1" min="4" max="4"/>
    <col width="19.19921875" customWidth="1" min="5" max="7"/>
    <col width="25" customWidth="1" min="8" max="10"/>
    <col width="23.296875" customWidth="1" min="11" max="11"/>
    <col width="13.59765625" customWidth="1" min="12" max="12"/>
    <col width="14" customWidth="1" min="13" max="13"/>
    <col width="93.296875" customWidth="1" min="14" max="14"/>
  </cols>
  <sheetData>
    <row r="1" ht="59.4" customHeight="1">
      <c r="B1" s="76" t="inlineStr">
        <is>
          <t>WMC Hardware Inventar</t>
        </is>
      </c>
      <c r="D1" t="inlineStr">
        <is>
          <t>Letzte Änderung:</t>
        </is>
      </c>
      <c r="E1" s="9" t="n">
        <v>45461</v>
      </c>
    </row>
    <row r="3" ht="42" customHeight="1">
      <c r="B3" s="59" t="inlineStr">
        <is>
          <t>Typ</t>
        </is>
      </c>
      <c r="C3" s="60" t="inlineStr">
        <is>
          <t>Hersteller</t>
        </is>
      </c>
      <c r="D3" s="60" t="inlineStr">
        <is>
          <t>Modell</t>
        </is>
      </c>
      <c r="E3" s="60" t="inlineStr">
        <is>
          <t>Gerätename</t>
        </is>
      </c>
      <c r="F3" s="60" t="inlineStr">
        <is>
          <t>Seriennummer</t>
        </is>
      </c>
      <c r="G3" s="60" t="inlineStr">
        <is>
          <t>Rechnung</t>
        </is>
      </c>
      <c r="H3" s="60" t="inlineStr">
        <is>
          <t>Rechnungsnummer</t>
        </is>
      </c>
      <c r="I3" s="60" t="inlineStr">
        <is>
          <t>Garantie</t>
        </is>
      </c>
      <c r="J3" s="60" t="inlineStr">
        <is>
          <t>Garantie Ende</t>
        </is>
      </c>
      <c r="K3" s="62" t="inlineStr">
        <is>
          <t>Datum Bestandsaufnahme</t>
        </is>
      </c>
      <c r="L3" s="62" t="inlineStr">
        <is>
          <t>Datum erhalt</t>
        </is>
      </c>
      <c r="M3" s="60" t="inlineStr">
        <is>
          <t>Status</t>
        </is>
      </c>
      <c r="N3" s="63" t="inlineStr">
        <is>
          <t>Kommentar</t>
        </is>
      </c>
    </row>
    <row r="4">
      <c r="B4" s="47" t="inlineStr">
        <is>
          <t>Rechner</t>
        </is>
      </c>
      <c r="C4" s="39" t="inlineStr">
        <is>
          <t>Apple</t>
        </is>
      </c>
      <c r="D4" s="39" t="inlineStr">
        <is>
          <t>Mac Studio</t>
        </is>
      </c>
      <c r="E4" s="57" t="n"/>
      <c r="F4" s="57" t="inlineStr">
        <is>
          <t>Y4CO2WPZPY</t>
        </is>
      </c>
      <c r="G4" s="57" t="n"/>
      <c r="H4" s="57" t="inlineStr">
        <is>
          <t>T2023V1878973773618</t>
        </is>
      </c>
      <c r="I4" s="57" t="inlineStr">
        <is>
          <t>Ja</t>
        </is>
      </c>
      <c r="J4" s="78" t="n">
        <v>46287</v>
      </c>
      <c r="K4" s="77" t="n">
        <v>45191</v>
      </c>
      <c r="L4" s="42" t="n"/>
      <c r="M4" s="39" t="n"/>
      <c r="N4" s="56" t="inlineStr">
        <is>
          <t>Beschreibung: Mac Studio/24C CPU/60CGPU/64GB/1 TB</t>
        </is>
      </c>
    </row>
    <row r="5" ht="31.2" customHeight="1">
      <c r="B5" s="47" t="inlineStr">
        <is>
          <t>Garantie</t>
        </is>
      </c>
      <c r="C5" s="39" t="inlineStr">
        <is>
          <t>Apple</t>
        </is>
      </c>
      <c r="D5" s="39" t="inlineStr">
        <is>
          <t>Mac Studio (Apple Care)</t>
        </is>
      </c>
      <c r="E5" s="57" t="n"/>
      <c r="F5" s="57" t="inlineStr">
        <is>
          <t>Y4CO2WPZPY</t>
        </is>
      </c>
      <c r="G5" s="57" t="n"/>
      <c r="H5" s="57" t="inlineStr">
        <is>
          <t>T2023V1878973773618</t>
        </is>
      </c>
      <c r="I5" s="57" t="n"/>
      <c r="J5" s="78" t="n">
        <v>46287</v>
      </c>
      <c r="K5" s="77" t="n">
        <v>45191</v>
      </c>
      <c r="L5" s="50" t="n"/>
      <c r="M5" s="39" t="n"/>
      <c r="N5" s="56" t="inlineStr">
        <is>
          <t>Die Garantie hat eine Laufzeit von drei Jahren. Sie läuft aus am 21.09.2026. Apple Care Vertragsnummer: 590456256934945</t>
        </is>
      </c>
    </row>
    <row r="6">
      <c r="B6" s="47" t="inlineStr">
        <is>
          <t>Headset</t>
        </is>
      </c>
      <c r="C6" s="39" t="inlineStr">
        <is>
          <t>Apple</t>
        </is>
      </c>
      <c r="D6" s="39" t="inlineStr">
        <is>
          <t>Air Pods Pro 2</t>
        </is>
      </c>
      <c r="E6" s="57" t="n"/>
      <c r="F6" s="57" t="inlineStr">
        <is>
          <t>PDXMPDJJ85</t>
        </is>
      </c>
      <c r="G6" s="57" t="n"/>
      <c r="H6" s="57" t="inlineStr">
        <is>
          <t>T2023V1878973773618</t>
        </is>
      </c>
      <c r="I6" s="57" t="inlineStr">
        <is>
          <t>Ja</t>
        </is>
      </c>
      <c r="J6" s="78" t="n">
        <v>45922</v>
      </c>
      <c r="K6" s="77" t="n">
        <v>45191</v>
      </c>
      <c r="L6" s="42" t="n"/>
      <c r="M6" s="39" t="n"/>
      <c r="N6" s="56" t="n"/>
    </row>
    <row r="7">
      <c r="B7" s="47" t="inlineStr">
        <is>
          <t>Headset</t>
        </is>
      </c>
      <c r="C7" s="39" t="inlineStr">
        <is>
          <t>Apple</t>
        </is>
      </c>
      <c r="D7" s="39" t="inlineStr">
        <is>
          <t>Air Pods Pro 2</t>
        </is>
      </c>
      <c r="E7" s="57" t="n"/>
      <c r="F7" s="57" t="inlineStr">
        <is>
          <t>KR4FBLP4B9</t>
        </is>
      </c>
      <c r="G7" s="57" t="n"/>
      <c r="H7" s="57" t="inlineStr">
        <is>
          <t>T2023V1878973773618</t>
        </is>
      </c>
      <c r="I7" s="57" t="inlineStr">
        <is>
          <t>Ja</t>
        </is>
      </c>
      <c r="J7" s="78" t="n">
        <v>45922</v>
      </c>
      <c r="K7" s="77" t="n">
        <v>45191</v>
      </c>
      <c r="L7" s="44" t="n"/>
      <c r="M7" s="39" t="n"/>
      <c r="N7" s="58" t="n"/>
    </row>
    <row r="8">
      <c r="B8" s="47" t="inlineStr">
        <is>
          <t>Headset</t>
        </is>
      </c>
      <c r="C8" s="39" t="inlineStr">
        <is>
          <t>Apple</t>
        </is>
      </c>
      <c r="D8" s="39" t="inlineStr">
        <is>
          <t>Air Pods Pro 2</t>
        </is>
      </c>
      <c r="E8" s="57" t="n"/>
      <c r="F8" s="57" t="inlineStr">
        <is>
          <t>L6Y23N5BWC</t>
        </is>
      </c>
      <c r="G8" s="57" t="n"/>
      <c r="H8" s="57" t="inlineStr">
        <is>
          <t>T2023V1878973773618</t>
        </is>
      </c>
      <c r="I8" s="57" t="inlineStr">
        <is>
          <t>Ja</t>
        </is>
      </c>
      <c r="J8" s="78" t="n">
        <v>45922</v>
      </c>
      <c r="K8" s="77" t="n">
        <v>45191</v>
      </c>
      <c r="L8" s="40" t="n"/>
      <c r="M8" s="39" t="n"/>
      <c r="N8" s="57" t="n"/>
    </row>
    <row r="9">
      <c r="B9" s="47" t="inlineStr">
        <is>
          <t>Headset</t>
        </is>
      </c>
      <c r="C9" s="39" t="inlineStr">
        <is>
          <t>Apple</t>
        </is>
      </c>
      <c r="D9" s="39" t="inlineStr">
        <is>
          <t>Air Pods Pro 2</t>
        </is>
      </c>
      <c r="E9" s="57" t="n"/>
      <c r="F9" s="57" t="inlineStr">
        <is>
          <t>RLNWE17MGD</t>
        </is>
      </c>
      <c r="G9" s="57" t="n"/>
      <c r="H9" s="57" t="inlineStr">
        <is>
          <t>T2023V1878973773618</t>
        </is>
      </c>
      <c r="I9" s="57" t="inlineStr">
        <is>
          <t>Ja</t>
        </is>
      </c>
      <c r="J9" s="78" t="n">
        <v>45922</v>
      </c>
      <c r="K9" s="77" t="n">
        <v>45191</v>
      </c>
      <c r="L9" s="55" t="n"/>
      <c r="M9" s="39" t="n"/>
      <c r="N9" s="56" t="n"/>
    </row>
    <row r="10">
      <c r="B10" s="47" t="inlineStr">
        <is>
          <t>Tablet</t>
        </is>
      </c>
      <c r="C10" s="39" t="inlineStr">
        <is>
          <t>Apple</t>
        </is>
      </c>
      <c r="D10" s="39" t="inlineStr">
        <is>
          <t>iPad Pro 11 Zoll</t>
        </is>
      </c>
      <c r="E10" s="57" t="n"/>
      <c r="F10" s="57" t="inlineStr">
        <is>
          <t>V4LZT6S8CC</t>
        </is>
      </c>
      <c r="G10" s="57" t="n"/>
      <c r="H10" s="57" t="inlineStr">
        <is>
          <t>T2023V1878973773618</t>
        </is>
      </c>
      <c r="I10" s="57" t="inlineStr">
        <is>
          <t>Ja</t>
        </is>
      </c>
      <c r="J10" s="78" t="n">
        <v>45922</v>
      </c>
      <c r="K10" s="77" t="n">
        <v>45191</v>
      </c>
      <c r="L10" s="55" t="n"/>
      <c r="M10" s="39" t="n"/>
      <c r="N10" s="57" t="inlineStr">
        <is>
          <t>128 GB - Space Grau</t>
        </is>
      </c>
    </row>
    <row r="11">
      <c r="B11" s="47" t="inlineStr">
        <is>
          <t>Tablet</t>
        </is>
      </c>
      <c r="C11" s="39" t="inlineStr">
        <is>
          <t>Apple</t>
        </is>
      </c>
      <c r="D11" s="39" t="inlineStr">
        <is>
          <t>iPad Pro 11 Zoll</t>
        </is>
      </c>
      <c r="E11" s="57" t="n"/>
      <c r="F11" s="57" t="inlineStr">
        <is>
          <t>M8066I9R2V</t>
        </is>
      </c>
      <c r="G11" s="57" t="n"/>
      <c r="H11" s="57" t="inlineStr">
        <is>
          <t>T2023V1878973773618</t>
        </is>
      </c>
      <c r="I11" s="57" t="inlineStr">
        <is>
          <t>Ja</t>
        </is>
      </c>
      <c r="J11" s="78" t="n">
        <v>45922</v>
      </c>
      <c r="K11" s="77" t="n">
        <v>45191</v>
      </c>
      <c r="L11" s="55" t="n"/>
      <c r="M11" s="39" t="n"/>
      <c r="N11" s="57" t="inlineStr">
        <is>
          <t>128 GB - Silber</t>
        </is>
      </c>
    </row>
    <row r="12">
      <c r="B12" s="47" t="inlineStr">
        <is>
          <t>Smartwatch</t>
        </is>
      </c>
      <c r="C12" s="39" t="inlineStr">
        <is>
          <t>Apple</t>
        </is>
      </c>
      <c r="D12" s="39" t="inlineStr">
        <is>
          <t>Watch Ultra 2</t>
        </is>
      </c>
      <c r="E12" s="57" t="n"/>
      <c r="F12" s="57" t="inlineStr">
        <is>
          <t>Z096YEGI7F</t>
        </is>
      </c>
      <c r="G12" s="57" t="n"/>
      <c r="H12" s="57" t="inlineStr">
        <is>
          <t>T2023V1878973773618</t>
        </is>
      </c>
      <c r="I12" s="57" t="inlineStr">
        <is>
          <t>Ja</t>
        </is>
      </c>
      <c r="J12" s="78" t="n">
        <v>45922</v>
      </c>
      <c r="K12" s="55" t="n">
        <v>45191</v>
      </c>
      <c r="L12" s="55" t="n"/>
      <c r="M12" s="39" t="n"/>
      <c r="N12" s="57" t="inlineStr">
        <is>
          <t xml:space="preserve">GPS + Cellular, 49mm Titangehäuse, Alpine Loop Indigo - Medium </t>
        </is>
      </c>
    </row>
    <row r="13">
      <c r="B13" s="47" t="inlineStr">
        <is>
          <t>Headset</t>
        </is>
      </c>
      <c r="C13" s="39" t="inlineStr">
        <is>
          <t>Apple</t>
        </is>
      </c>
      <c r="D13" s="39" t="inlineStr">
        <is>
          <t>Air Pods Pro 2</t>
        </is>
      </c>
      <c r="E13" s="57" t="n"/>
      <c r="F13" s="57" t="inlineStr">
        <is>
          <t>UAPESQ4PKE</t>
        </is>
      </c>
      <c r="G13" s="57" t="n"/>
      <c r="H13" s="57" t="inlineStr">
        <is>
          <t>T2023V1878973773618</t>
        </is>
      </c>
      <c r="I13" s="57" t="inlineStr">
        <is>
          <t>Ja</t>
        </is>
      </c>
      <c r="J13" s="78" t="n">
        <v>45922</v>
      </c>
      <c r="K13" s="77" t="n">
        <v>45191</v>
      </c>
      <c r="L13" s="55" t="n"/>
      <c r="M13" s="39" t="n"/>
      <c r="N13" s="57" t="n"/>
    </row>
    <row r="14">
      <c r="B14" s="47" t="inlineStr">
        <is>
          <t>Maus</t>
        </is>
      </c>
      <c r="C14" s="39" t="inlineStr">
        <is>
          <t>Logitech</t>
        </is>
      </c>
      <c r="D14" s="39" t="inlineStr">
        <is>
          <t>MX Master 2S</t>
        </is>
      </c>
      <c r="E14" s="57" t="inlineStr">
        <is>
          <t>WMC-HW-2013</t>
        </is>
      </c>
      <c r="F14" s="57" t="inlineStr">
        <is>
          <t>2742YY3854D3</t>
        </is>
      </c>
      <c r="G14" s="57" t="n"/>
      <c r="H14" s="57" t="n"/>
      <c r="I14" s="57" t="inlineStr">
        <is>
          <t>ja</t>
        </is>
      </c>
      <c r="J14" s="78" t="n">
        <v>45968</v>
      </c>
      <c r="K14" s="78" t="n">
        <v>45237</v>
      </c>
      <c r="L14" s="55" t="n"/>
      <c r="M14" s="39" t="n"/>
      <c r="N14" s="39" t="n"/>
    </row>
    <row r="15">
      <c r="B15" s="47" t="inlineStr">
        <is>
          <t>Maus</t>
        </is>
      </c>
      <c r="C15" s="39" t="inlineStr">
        <is>
          <t>Logitech</t>
        </is>
      </c>
      <c r="D15" s="39" t="inlineStr">
        <is>
          <t>MX Master 2S</t>
        </is>
      </c>
      <c r="E15" s="57" t="inlineStr">
        <is>
          <t>WMC-HW-2014</t>
        </is>
      </c>
      <c r="F15" s="57" t="inlineStr">
        <is>
          <t>7527JY102PL9</t>
        </is>
      </c>
      <c r="G15" s="57" t="n"/>
      <c r="H15" s="57" t="n"/>
      <c r="I15" s="57" t="inlineStr">
        <is>
          <t>ja</t>
        </is>
      </c>
      <c r="J15" s="78" t="n">
        <v>45968</v>
      </c>
      <c r="K15" s="78" t="n">
        <v>45237</v>
      </c>
      <c r="L15" s="55" t="n"/>
      <c r="M15" s="39" t="n"/>
      <c r="N15" s="57" t="n"/>
    </row>
    <row r="16">
      <c r="B16" s="47" t="inlineStr">
        <is>
          <t>Maus</t>
        </is>
      </c>
      <c r="C16" s="39" t="inlineStr">
        <is>
          <t>Logitech</t>
        </is>
      </c>
      <c r="D16" s="39" t="inlineStr">
        <is>
          <t>MX Master 2S</t>
        </is>
      </c>
      <c r="E16" s="57" t="inlineStr">
        <is>
          <t>WMC-HW-2015</t>
        </is>
      </c>
      <c r="F16" s="57" t="inlineStr">
        <is>
          <t>3003XQ4133N7</t>
        </is>
      </c>
      <c r="G16" s="57" t="n"/>
      <c r="H16" s="57" t="n"/>
      <c r="I16" s="57" t="inlineStr">
        <is>
          <t>ja</t>
        </is>
      </c>
      <c r="J16" s="78" t="n">
        <v>45968</v>
      </c>
      <c r="K16" s="78" t="n">
        <v>45237</v>
      </c>
      <c r="L16" s="55" t="n"/>
      <c r="M16" s="39" t="n"/>
      <c r="N16" s="57" t="n"/>
    </row>
    <row r="17">
      <c r="B17" s="47" t="inlineStr">
        <is>
          <t>Maus</t>
        </is>
      </c>
      <c r="C17" s="39" t="inlineStr">
        <is>
          <t>Logitech</t>
        </is>
      </c>
      <c r="D17" s="39" t="inlineStr">
        <is>
          <t>MX Master 2S</t>
        </is>
      </c>
      <c r="E17" s="57" t="inlineStr">
        <is>
          <t>WMC-HW-2017</t>
        </is>
      </c>
      <c r="F17" s="57" t="inlineStr">
        <is>
          <t>2382KZ42KWQ5</t>
        </is>
      </c>
      <c r="G17" s="57" t="n"/>
      <c r="H17" s="57" t="n"/>
      <c r="I17" s="57" t="inlineStr">
        <is>
          <t>ja</t>
        </is>
      </c>
      <c r="J17" s="78" t="n">
        <v>45968</v>
      </c>
      <c r="K17" s="78" t="n">
        <v>45237</v>
      </c>
      <c r="L17" s="55" t="n"/>
      <c r="M17" s="39" t="n"/>
      <c r="N17" s="57" t="inlineStr">
        <is>
          <t>WMRKG</t>
        </is>
      </c>
    </row>
    <row r="18">
      <c r="B18" s="47" t="inlineStr">
        <is>
          <t>Maus</t>
        </is>
      </c>
      <c r="C18" s="39" t="inlineStr">
        <is>
          <t>Logitech</t>
        </is>
      </c>
      <c r="D18" s="39" t="inlineStr">
        <is>
          <t>MX Master 2S</t>
        </is>
      </c>
      <c r="E18" s="57" t="inlineStr">
        <is>
          <t>WMC-HW-2016</t>
        </is>
      </c>
      <c r="F18" s="57" t="inlineStr">
        <is>
          <t>2382KZ42KWQ5</t>
        </is>
      </c>
      <c r="G18" s="57" t="n"/>
      <c r="H18" s="57" t="n"/>
      <c r="I18" s="57" t="inlineStr">
        <is>
          <t>ja</t>
        </is>
      </c>
      <c r="J18" s="78" t="n">
        <v>45968</v>
      </c>
      <c r="K18" s="78" t="n">
        <v>45237</v>
      </c>
      <c r="L18" s="55" t="n"/>
      <c r="M18" s="39" t="n"/>
      <c r="N18" s="57" t="n"/>
    </row>
    <row r="19">
      <c r="B19" s="47" t="inlineStr">
        <is>
          <t>Webcam</t>
        </is>
      </c>
      <c r="C19" s="39" t="inlineStr">
        <is>
          <t>Logitech</t>
        </is>
      </c>
      <c r="D19" s="39" t="inlineStr">
        <is>
          <t>Brio Ultra HD Webcam</t>
        </is>
      </c>
      <c r="E19" s="57" t="inlineStr">
        <is>
          <t>WMC-WC-001</t>
        </is>
      </c>
      <c r="F19" s="57" t="n"/>
      <c r="G19" s="57" t="n"/>
      <c r="H19" s="57" t="n"/>
      <c r="I19" s="57" t="inlineStr">
        <is>
          <t>Ja</t>
        </is>
      </c>
      <c r="J19" s="78" t="n">
        <v>45969</v>
      </c>
      <c r="K19" s="55" t="n">
        <v>45238</v>
      </c>
      <c r="L19" s="55" t="n"/>
      <c r="M19" s="39" t="n"/>
      <c r="N19" s="57" t="n"/>
    </row>
    <row r="20">
      <c r="B20" s="47" t="inlineStr">
        <is>
          <t>Webcam</t>
        </is>
      </c>
      <c r="C20" s="39" t="inlineStr">
        <is>
          <t>Logitech</t>
        </is>
      </c>
      <c r="D20" s="39" t="inlineStr">
        <is>
          <t>Brio Ultra HD Webcam</t>
        </is>
      </c>
      <c r="E20" s="57" t="inlineStr">
        <is>
          <t>WMC-WC-002</t>
        </is>
      </c>
      <c r="F20" s="57" t="n"/>
      <c r="G20" s="57" t="n"/>
      <c r="H20" s="57" t="n"/>
      <c r="I20" s="57" t="inlineStr">
        <is>
          <t>Ja</t>
        </is>
      </c>
      <c r="J20" s="78" t="n">
        <v>45969</v>
      </c>
      <c r="K20" s="55" t="n">
        <v>45238</v>
      </c>
      <c r="L20" s="55" t="n"/>
      <c r="M20" s="39" t="n"/>
      <c r="N20" s="57" t="n"/>
    </row>
    <row r="21">
      <c r="B21" s="47" t="inlineStr">
        <is>
          <t>Webcam</t>
        </is>
      </c>
      <c r="C21" s="39" t="inlineStr">
        <is>
          <t>Logitech</t>
        </is>
      </c>
      <c r="D21" s="39" t="inlineStr">
        <is>
          <t>Brio Ultra HD Webcam</t>
        </is>
      </c>
      <c r="E21" s="57" t="inlineStr">
        <is>
          <t>WMC-WC-003</t>
        </is>
      </c>
      <c r="F21" s="57" t="n"/>
      <c r="G21" s="57" t="n"/>
      <c r="H21" s="57" t="n"/>
      <c r="I21" s="57" t="inlineStr">
        <is>
          <t>Ja</t>
        </is>
      </c>
      <c r="J21" s="78" t="n">
        <v>45969</v>
      </c>
      <c r="K21" s="55" t="n">
        <v>45238</v>
      </c>
      <c r="L21" s="55" t="n"/>
      <c r="M21" s="39" t="n"/>
      <c r="N21" s="57" t="n"/>
    </row>
    <row r="22">
      <c r="B22" s="47" t="inlineStr">
        <is>
          <t>Webcam</t>
        </is>
      </c>
      <c r="C22" s="39" t="inlineStr">
        <is>
          <t>Logitech</t>
        </is>
      </c>
      <c r="D22" s="39" t="inlineStr">
        <is>
          <t>Brio Ultra HD Webcam</t>
        </is>
      </c>
      <c r="E22" s="57" t="inlineStr">
        <is>
          <t>WMC-WC-004</t>
        </is>
      </c>
      <c r="F22" s="57" t="n"/>
      <c r="G22" s="57" t="n"/>
      <c r="H22" s="57" t="n"/>
      <c r="I22" s="57" t="inlineStr">
        <is>
          <t>Ja</t>
        </is>
      </c>
      <c r="J22" s="78" t="n">
        <v>45969</v>
      </c>
      <c r="K22" s="55" t="n">
        <v>45238</v>
      </c>
      <c r="L22" s="55" t="n"/>
      <c r="M22" s="39" t="n"/>
      <c r="N22" s="57" t="n"/>
    </row>
    <row r="23">
      <c r="B23" s="47" t="inlineStr">
        <is>
          <t>Webcam</t>
        </is>
      </c>
      <c r="C23" s="39" t="inlineStr">
        <is>
          <t>Logitech</t>
        </is>
      </c>
      <c r="D23" s="39" t="inlineStr">
        <is>
          <t>Brio Ultra HD Webcam</t>
        </is>
      </c>
      <c r="E23" s="57" t="inlineStr">
        <is>
          <t>WMC-WC-005</t>
        </is>
      </c>
      <c r="F23" s="57" t="n"/>
      <c r="G23" s="57" t="n"/>
      <c r="H23" s="57" t="n"/>
      <c r="I23" s="57" t="inlineStr">
        <is>
          <t>Ja</t>
        </is>
      </c>
      <c r="J23" s="78" t="n">
        <v>45969</v>
      </c>
      <c r="K23" s="55" t="n">
        <v>45238</v>
      </c>
      <c r="L23" s="55" t="n"/>
      <c r="M23" s="39" t="n"/>
      <c r="N23" s="57" t="n"/>
    </row>
    <row r="24">
      <c r="B24" s="47" t="inlineStr">
        <is>
          <t>Webcam</t>
        </is>
      </c>
      <c r="C24" s="39" t="inlineStr">
        <is>
          <t>Logitech</t>
        </is>
      </c>
      <c r="D24" s="39" t="inlineStr">
        <is>
          <t>Brio Ultra HD Webcam</t>
        </is>
      </c>
      <c r="E24" s="57" t="inlineStr">
        <is>
          <t>WMC-WC-006</t>
        </is>
      </c>
      <c r="F24" s="57" t="n"/>
      <c r="G24" s="57" t="n"/>
      <c r="H24" s="57" t="n"/>
      <c r="I24" s="57" t="inlineStr">
        <is>
          <t>Ja</t>
        </is>
      </c>
      <c r="J24" s="78" t="n">
        <v>45969</v>
      </c>
      <c r="K24" s="55" t="n">
        <v>45238</v>
      </c>
      <c r="L24" s="55" t="n"/>
      <c r="M24" s="39" t="n"/>
      <c r="N24" s="57" t="n"/>
    </row>
    <row r="25">
      <c r="B25" s="47" t="inlineStr">
        <is>
          <t>Webcam</t>
        </is>
      </c>
      <c r="C25" s="39" t="inlineStr">
        <is>
          <t>Logitech</t>
        </is>
      </c>
      <c r="D25" s="39" t="inlineStr">
        <is>
          <t>Brio Ultra HD Webcam</t>
        </is>
      </c>
      <c r="E25" s="57" t="inlineStr">
        <is>
          <t>WMC-WC-007</t>
        </is>
      </c>
      <c r="F25" s="57" t="n"/>
      <c r="G25" s="57" t="n"/>
      <c r="H25" s="57" t="n"/>
      <c r="I25" s="57" t="inlineStr">
        <is>
          <t>Ja</t>
        </is>
      </c>
      <c r="J25" s="78" t="n">
        <v>45969</v>
      </c>
      <c r="K25" s="55" t="n">
        <v>45238</v>
      </c>
      <c r="L25" s="55" t="n"/>
      <c r="M25" s="39" t="n"/>
      <c r="N25" s="57" t="n"/>
    </row>
    <row r="26">
      <c r="B26" s="47" t="inlineStr">
        <is>
          <t>Steckdose (Tisch)</t>
        </is>
      </c>
      <c r="C26" s="39" t="inlineStr">
        <is>
          <t>N.A.</t>
        </is>
      </c>
      <c r="D26" s="39" t="inlineStr">
        <is>
          <t>2x Steckdose, USB-A, USB-C</t>
        </is>
      </c>
      <c r="E26" s="57" t="inlineStr">
        <is>
          <t>WMC-S-001</t>
        </is>
      </c>
      <c r="F26" s="57" t="n"/>
      <c r="G26" s="57" t="n"/>
      <c r="H26" s="57" t="n"/>
      <c r="I26" s="57" t="inlineStr">
        <is>
          <t>Ja</t>
        </is>
      </c>
      <c r="J26" s="57" t="n"/>
      <c r="K26" s="55" t="n">
        <v>45245</v>
      </c>
      <c r="L26" s="55" t="n">
        <v>45245</v>
      </c>
      <c r="M26" s="39" t="inlineStr">
        <is>
          <t>erledigt</t>
        </is>
      </c>
      <c r="N26" s="57" t="n"/>
    </row>
    <row r="27">
      <c r="B27" s="47" t="inlineStr">
        <is>
          <t>Steckdose (Tisch)</t>
        </is>
      </c>
      <c r="C27" s="39" t="inlineStr">
        <is>
          <t>N.A.</t>
        </is>
      </c>
      <c r="D27" s="39" t="inlineStr">
        <is>
          <t>2x Steckdose, USB-A, USB-C</t>
        </is>
      </c>
      <c r="E27" s="57" t="inlineStr">
        <is>
          <t>WMC-S-002</t>
        </is>
      </c>
      <c r="F27" s="57" t="n"/>
      <c r="G27" s="57" t="n"/>
      <c r="H27" s="57" t="n"/>
      <c r="I27" s="57" t="inlineStr">
        <is>
          <t>Ja</t>
        </is>
      </c>
      <c r="J27" s="57" t="n"/>
      <c r="K27" s="55" t="n">
        <v>45245</v>
      </c>
      <c r="L27" s="55" t="n">
        <v>45245</v>
      </c>
      <c r="M27" s="39" t="inlineStr">
        <is>
          <t>erledigt</t>
        </is>
      </c>
      <c r="N27" s="57" t="n"/>
    </row>
    <row r="28">
      <c r="B28" s="47" t="inlineStr">
        <is>
          <t>Steckdose (Tisch)</t>
        </is>
      </c>
      <c r="C28" s="39" t="inlineStr">
        <is>
          <t>N.A.</t>
        </is>
      </c>
      <c r="D28" s="39" t="inlineStr">
        <is>
          <t>2x Steckdose, USB-A, USB-C</t>
        </is>
      </c>
      <c r="E28" s="57" t="inlineStr">
        <is>
          <t>WMC-S-003</t>
        </is>
      </c>
      <c r="F28" s="57" t="n"/>
      <c r="G28" s="57" t="n"/>
      <c r="H28" s="57" t="n"/>
      <c r="I28" s="57" t="inlineStr">
        <is>
          <t>Ja</t>
        </is>
      </c>
      <c r="J28" s="57" t="n"/>
      <c r="K28" s="55" t="n">
        <v>45245</v>
      </c>
      <c r="L28" s="55" t="n">
        <v>45245</v>
      </c>
      <c r="M28" s="39" t="inlineStr">
        <is>
          <t>erledigt</t>
        </is>
      </c>
      <c r="N28" s="57" t="n"/>
    </row>
    <row r="29">
      <c r="B29" s="47" t="inlineStr">
        <is>
          <t>Steckdose (Tisch)</t>
        </is>
      </c>
      <c r="C29" s="39" t="inlineStr">
        <is>
          <t>N.A.</t>
        </is>
      </c>
      <c r="D29" s="39" t="inlineStr">
        <is>
          <t>2x Steckdose, USB-A, USB-C</t>
        </is>
      </c>
      <c r="E29" s="57" t="inlineStr">
        <is>
          <t>WMC-S-004</t>
        </is>
      </c>
      <c r="F29" s="57" t="n"/>
      <c r="G29" s="57" t="n"/>
      <c r="H29" s="57" t="n"/>
      <c r="I29" s="57" t="inlineStr">
        <is>
          <t>Ja</t>
        </is>
      </c>
      <c r="J29" s="57" t="n"/>
      <c r="K29" s="55" t="n">
        <v>45245</v>
      </c>
      <c r="L29" s="55" t="n">
        <v>45245</v>
      </c>
      <c r="M29" s="39" t="inlineStr">
        <is>
          <t>erledigt</t>
        </is>
      </c>
      <c r="N29" s="57" t="n"/>
    </row>
    <row r="30">
      <c r="B30" s="47" t="inlineStr">
        <is>
          <t>Steckdose (Tisch)</t>
        </is>
      </c>
      <c r="C30" s="39" t="inlineStr">
        <is>
          <t>N.A.</t>
        </is>
      </c>
      <c r="D30" s="39" t="inlineStr">
        <is>
          <t>2x Steckdose, USB-A, USB-C</t>
        </is>
      </c>
      <c r="E30" s="57" t="inlineStr">
        <is>
          <t>WMC-S-005</t>
        </is>
      </c>
      <c r="F30" s="57" t="n"/>
      <c r="G30" s="57" t="n"/>
      <c r="H30" s="57" t="n"/>
      <c r="I30" s="57" t="inlineStr">
        <is>
          <t>Ja</t>
        </is>
      </c>
      <c r="J30" s="57" t="n"/>
      <c r="K30" s="55" t="n">
        <v>45245</v>
      </c>
      <c r="L30" s="55" t="n">
        <v>45245</v>
      </c>
      <c r="M30" s="39" t="inlineStr">
        <is>
          <t>erledigt</t>
        </is>
      </c>
      <c r="N30" s="57" t="n"/>
    </row>
    <row r="31">
      <c r="B31" s="47" t="inlineStr">
        <is>
          <t>Steckdose (Tisch)</t>
        </is>
      </c>
      <c r="C31" s="39" t="inlineStr">
        <is>
          <t>N.A.</t>
        </is>
      </c>
      <c r="D31" s="39" t="inlineStr">
        <is>
          <t>2x Steckdose, USB-A, USB-C</t>
        </is>
      </c>
      <c r="E31" s="57" t="inlineStr">
        <is>
          <t>WMC-S-006</t>
        </is>
      </c>
      <c r="F31" s="57" t="n"/>
      <c r="G31" s="57" t="n"/>
      <c r="H31" s="57" t="n"/>
      <c r="I31" s="57" t="inlineStr">
        <is>
          <t>Ja</t>
        </is>
      </c>
      <c r="J31" s="57" t="n"/>
      <c r="K31" s="55" t="n">
        <v>45245</v>
      </c>
      <c r="L31" s="55" t="n">
        <v>45245</v>
      </c>
      <c r="M31" s="39" t="inlineStr">
        <is>
          <t>erledigt</t>
        </is>
      </c>
      <c r="N31" s="57" t="n"/>
    </row>
    <row r="32">
      <c r="B32" s="47" t="inlineStr">
        <is>
          <t>Steckdose (Tisch)</t>
        </is>
      </c>
      <c r="C32" s="39" t="inlineStr">
        <is>
          <t>N.A.</t>
        </is>
      </c>
      <c r="D32" s="39" t="inlineStr">
        <is>
          <t>2x Steckdose, USB-A, USB-C</t>
        </is>
      </c>
      <c r="E32" s="57" t="inlineStr">
        <is>
          <t>WMC-S-007</t>
        </is>
      </c>
      <c r="F32" s="57" t="n"/>
      <c r="G32" s="57" t="n"/>
      <c r="H32" s="57" t="n"/>
      <c r="I32" s="57" t="inlineStr">
        <is>
          <t>Ja</t>
        </is>
      </c>
      <c r="J32" s="57" t="n"/>
      <c r="K32" s="55" t="n">
        <v>45245</v>
      </c>
      <c r="L32" s="55" t="n">
        <v>45245</v>
      </c>
      <c r="M32" s="39" t="inlineStr">
        <is>
          <t>erledigt</t>
        </is>
      </c>
      <c r="N32" s="57" t="n"/>
    </row>
    <row r="33">
      <c r="B33" s="47" t="inlineStr">
        <is>
          <t>Steckdose (Tisch)</t>
        </is>
      </c>
      <c r="C33" s="39" t="inlineStr">
        <is>
          <t>N.A.</t>
        </is>
      </c>
      <c r="D33" s="39" t="inlineStr">
        <is>
          <t>2x Steckdose, USB-A, USB-C</t>
        </is>
      </c>
      <c r="E33" s="57" t="inlineStr">
        <is>
          <t>WMC-S-008</t>
        </is>
      </c>
      <c r="F33" s="57" t="n"/>
      <c r="G33" s="57" t="n"/>
      <c r="H33" s="57" t="n"/>
      <c r="I33" s="57" t="inlineStr">
        <is>
          <t>Ja</t>
        </is>
      </c>
      <c r="J33" s="57" t="n"/>
      <c r="K33" s="55" t="n">
        <v>45245</v>
      </c>
      <c r="L33" s="55" t="n">
        <v>45245</v>
      </c>
      <c r="M33" s="39" t="inlineStr">
        <is>
          <t>erledigt</t>
        </is>
      </c>
      <c r="N33" s="57" t="n"/>
    </row>
    <row r="34">
      <c r="B34" s="47" t="inlineStr">
        <is>
          <t>Steckdose (Tisch)</t>
        </is>
      </c>
      <c r="C34" s="39" t="inlineStr">
        <is>
          <t>N.A.</t>
        </is>
      </c>
      <c r="D34" s="39" t="inlineStr">
        <is>
          <t>2x Steckdose, USB-A, USB-C</t>
        </is>
      </c>
      <c r="E34" s="57" t="inlineStr">
        <is>
          <t>WMC-S-009</t>
        </is>
      </c>
      <c r="F34" s="57" t="n"/>
      <c r="G34" s="57" t="n"/>
      <c r="H34" s="57" t="n"/>
      <c r="I34" s="57" t="inlineStr">
        <is>
          <t>Ja</t>
        </is>
      </c>
      <c r="J34" s="57" t="n"/>
      <c r="K34" s="55" t="n">
        <v>45245</v>
      </c>
      <c r="L34" s="55" t="n">
        <v>45245</v>
      </c>
      <c r="M34" s="39" t="inlineStr">
        <is>
          <t>erledigt</t>
        </is>
      </c>
      <c r="N34" s="57" t="n"/>
    </row>
    <row r="35">
      <c r="B35" s="47" t="inlineStr">
        <is>
          <t>Steckdose (Tisch)</t>
        </is>
      </c>
      <c r="C35" s="39" t="inlineStr">
        <is>
          <t>N.A.</t>
        </is>
      </c>
      <c r="D35" s="39" t="inlineStr">
        <is>
          <t>2x Steckdose, USB-A, USB-C</t>
        </is>
      </c>
      <c r="E35" s="57" t="inlineStr">
        <is>
          <t>WMC-S-010</t>
        </is>
      </c>
      <c r="F35" s="57" t="n"/>
      <c r="G35" s="57" t="n"/>
      <c r="H35" s="57" t="n"/>
      <c r="I35" s="57" t="inlineStr">
        <is>
          <t>Ja</t>
        </is>
      </c>
      <c r="J35" s="57" t="n"/>
      <c r="K35" s="55" t="n">
        <v>45245</v>
      </c>
      <c r="L35" s="55" t="n">
        <v>45245</v>
      </c>
      <c r="M35" s="39" t="inlineStr">
        <is>
          <t>erledigt</t>
        </is>
      </c>
      <c r="N35" s="57" t="n"/>
    </row>
    <row r="36">
      <c r="B36" s="47" t="inlineStr">
        <is>
          <t>Steckdose (Tisch)</t>
        </is>
      </c>
      <c r="C36" s="39" t="inlineStr">
        <is>
          <t>N.A.</t>
        </is>
      </c>
      <c r="D36" s="39" t="inlineStr">
        <is>
          <t>2x Steckdose, USB-A, USB-C</t>
        </is>
      </c>
      <c r="E36" s="57" t="inlineStr">
        <is>
          <t>WMC-S-011</t>
        </is>
      </c>
      <c r="F36" s="57" t="n"/>
      <c r="G36" s="57" t="n"/>
      <c r="H36" s="57" t="n"/>
      <c r="I36" s="57" t="inlineStr">
        <is>
          <t>Ja</t>
        </is>
      </c>
      <c r="J36" s="57" t="n"/>
      <c r="K36" s="55" t="n">
        <v>45245</v>
      </c>
      <c r="L36" s="55" t="n">
        <v>45245</v>
      </c>
      <c r="M36" s="39" t="inlineStr">
        <is>
          <t>erledigt</t>
        </is>
      </c>
      <c r="N36" s="57" t="n"/>
    </row>
    <row r="37">
      <c r="B37" s="47" t="inlineStr">
        <is>
          <t>Steckdose (Tisch)</t>
        </is>
      </c>
      <c r="C37" s="39" t="inlineStr">
        <is>
          <t>N.A.</t>
        </is>
      </c>
      <c r="D37" s="39" t="inlineStr">
        <is>
          <t>2x Steckdose, USB-A, USB-C</t>
        </is>
      </c>
      <c r="E37" s="57" t="inlineStr">
        <is>
          <t>WMC-S-012</t>
        </is>
      </c>
      <c r="F37" s="57" t="n"/>
      <c r="G37" s="57" t="n"/>
      <c r="H37" s="57" t="n"/>
      <c r="I37" s="57" t="inlineStr">
        <is>
          <t>Ja</t>
        </is>
      </c>
      <c r="J37" s="57" t="n"/>
      <c r="K37" s="55" t="n">
        <v>45245</v>
      </c>
      <c r="L37" s="55" t="n">
        <v>45245</v>
      </c>
      <c r="M37" s="39" t="inlineStr">
        <is>
          <t>erledigt</t>
        </is>
      </c>
      <c r="N37" s="57" t="inlineStr">
        <is>
          <t xml:space="preserve">16.11.2023 JA: USB-C Port liefert keinen Strom. Reklamation ist gestartet </t>
        </is>
      </c>
    </row>
    <row r="38">
      <c r="B38" s="47" t="inlineStr">
        <is>
          <t>Notebook</t>
        </is>
      </c>
      <c r="C38" s="39" t="inlineStr">
        <is>
          <t>Huawei</t>
        </is>
      </c>
      <c r="D38" s="39" t="inlineStr">
        <is>
          <t>MateBook 16s</t>
        </is>
      </c>
      <c r="E38" s="57" t="n"/>
      <c r="F38" s="4" t="inlineStr">
        <is>
          <t>PDWQL16871733423</t>
        </is>
      </c>
      <c r="G38" s="57" t="n"/>
      <c r="H38" s="57" t="inlineStr">
        <is>
          <t>41255536116</t>
        </is>
      </c>
      <c r="I38" s="57" t="inlineStr">
        <is>
          <t>Ja</t>
        </is>
      </c>
      <c r="J38" s="78" t="n">
        <v>46347</v>
      </c>
      <c r="K38" s="55" t="n">
        <v>45251</v>
      </c>
      <c r="L38" s="55" t="n">
        <v>45251</v>
      </c>
      <c r="M38" s="39" t="inlineStr">
        <is>
          <t>erledigt</t>
        </is>
      </c>
      <c r="N38" s="57" t="inlineStr">
        <is>
          <t>HUAWEI Matebook 16s 2023 16 inch i9-13900H UMA 16GB 1 TB Space Gray WIN11 Home</t>
        </is>
      </c>
    </row>
    <row r="39">
      <c r="B39" s="47" t="inlineStr">
        <is>
          <t>Notebook</t>
        </is>
      </c>
      <c r="C39" s="39" t="inlineStr">
        <is>
          <t>Huawei</t>
        </is>
      </c>
      <c r="D39" s="39" t="inlineStr">
        <is>
          <t>MateBook 16s</t>
        </is>
      </c>
      <c r="E39" s="57" t="n"/>
      <c r="F39" s="4" t="inlineStr">
        <is>
          <t>IIIKL83948216773</t>
        </is>
      </c>
      <c r="G39" s="57" t="n"/>
      <c r="H39" s="57" t="inlineStr">
        <is>
          <t>10293555344</t>
        </is>
      </c>
      <c r="I39" s="57" t="inlineStr">
        <is>
          <t>Ja</t>
        </is>
      </c>
      <c r="J39" s="78" t="n">
        <v>46347</v>
      </c>
      <c r="K39" s="55" t="n">
        <v>45251</v>
      </c>
      <c r="L39" s="55" t="n">
        <v>45251</v>
      </c>
      <c r="M39" s="39" t="inlineStr">
        <is>
          <t>erledigt</t>
        </is>
      </c>
      <c r="N39" s="57" t="inlineStr">
        <is>
          <t>HUAWEI Matebook 16s 2023 16 inch i9-13900H UMA 16GB 1 TB Space Gray WIN11 Home</t>
        </is>
      </c>
    </row>
    <row r="40">
      <c r="B40" s="47" t="inlineStr">
        <is>
          <t>Notebook</t>
        </is>
      </c>
      <c r="C40" s="39" t="inlineStr">
        <is>
          <t>Huawei</t>
        </is>
      </c>
      <c r="D40" s="39" t="inlineStr">
        <is>
          <t>MateBook 16s</t>
        </is>
      </c>
      <c r="E40" s="57" t="n"/>
      <c r="F40" s="4" t="inlineStr">
        <is>
          <t>UTRSS32K25231114</t>
        </is>
      </c>
      <c r="G40" s="57" t="n"/>
      <c r="H40" s="57" t="inlineStr">
        <is>
          <t>80749135733</t>
        </is>
      </c>
      <c r="I40" s="57" t="inlineStr">
        <is>
          <t>Ja</t>
        </is>
      </c>
      <c r="J40" s="78" t="n">
        <v>46347</v>
      </c>
      <c r="K40" s="55" t="n">
        <v>45251</v>
      </c>
      <c r="L40" s="55" t="n">
        <v>45251</v>
      </c>
      <c r="M40" s="39" t="inlineStr">
        <is>
          <t>erledigt</t>
        </is>
      </c>
      <c r="N40" s="57" t="inlineStr">
        <is>
          <t>HUAWEI Matebook 16s 2023 16 inch i9-13900H UMA 16GB 1 TB Space Gray WIN11 Home</t>
        </is>
      </c>
    </row>
    <row r="41">
      <c r="B41" s="47" t="inlineStr">
        <is>
          <t>Notebook</t>
        </is>
      </c>
      <c r="C41" s="39" t="inlineStr">
        <is>
          <t>Huawei</t>
        </is>
      </c>
      <c r="D41" s="39" t="inlineStr">
        <is>
          <t>MateBook 16s</t>
        </is>
      </c>
      <c r="E41" s="57" t="n"/>
      <c r="F41" s="4" t="inlineStr">
        <is>
          <t>GZRAP16I27513395</t>
        </is>
      </c>
      <c r="G41" s="57" t="n"/>
      <c r="H41" s="57" t="inlineStr">
        <is>
          <t>20073557236</t>
        </is>
      </c>
      <c r="I41" s="57" t="inlineStr">
        <is>
          <t>Ja</t>
        </is>
      </c>
      <c r="J41" s="78" t="n">
        <v>46347</v>
      </c>
      <c r="K41" s="55" t="n">
        <v>45251</v>
      </c>
      <c r="L41" s="55" t="n">
        <v>45251</v>
      </c>
      <c r="M41" s="39" t="inlineStr">
        <is>
          <t>erledigt</t>
        </is>
      </c>
      <c r="N41" s="57" t="inlineStr">
        <is>
          <t>HUAWEI Matebook 16s 2023 16 inch i9-13900H UMA 16GB 1 TB Space Gray WIN11 Home</t>
        </is>
      </c>
    </row>
    <row r="42">
      <c r="B42" s="47" t="inlineStr">
        <is>
          <t>Notebook</t>
        </is>
      </c>
      <c r="C42" s="39" t="inlineStr">
        <is>
          <t>Huawei</t>
        </is>
      </c>
      <c r="D42" s="39" t="inlineStr">
        <is>
          <t>MateBook 16s</t>
        </is>
      </c>
      <c r="E42" s="57" t="n"/>
      <c r="F42" s="4" t="inlineStr">
        <is>
          <t>NNKDR20271923016</t>
        </is>
      </c>
      <c r="G42" s="57" t="n"/>
      <c r="H42" s="57" t="inlineStr">
        <is>
          <t>84884862993</t>
        </is>
      </c>
      <c r="I42" s="57" t="inlineStr">
        <is>
          <t>Ja</t>
        </is>
      </c>
      <c r="J42" s="78" t="n">
        <v>46347</v>
      </c>
      <c r="K42" s="55" t="n">
        <v>45251</v>
      </c>
      <c r="L42" s="55" t="n">
        <v>45251</v>
      </c>
      <c r="M42" s="39" t="inlineStr">
        <is>
          <t>erledigt</t>
        </is>
      </c>
      <c r="N42" s="57" t="inlineStr">
        <is>
          <t>HUAWEI Matebook 16s 2023 16 inch i9-13900H UMA 16GB 1 TB Space Gray WIN11 Home</t>
        </is>
      </c>
    </row>
    <row r="43">
      <c r="B43" s="47" t="inlineStr">
        <is>
          <t>Notebook</t>
        </is>
      </c>
      <c r="C43" s="39" t="inlineStr">
        <is>
          <t>Huawei</t>
        </is>
      </c>
      <c r="D43" s="39" t="inlineStr">
        <is>
          <t>MateBook 16s</t>
        </is>
      </c>
      <c r="E43" s="57" t="n"/>
      <c r="F43" s="4" t="inlineStr">
        <is>
          <t>ZVXXJ39298559968</t>
        </is>
      </c>
      <c r="G43" s="57" t="n"/>
      <c r="H43" s="57" t="inlineStr">
        <is>
          <t>21835708000</t>
        </is>
      </c>
      <c r="I43" s="57" t="inlineStr">
        <is>
          <t>Ja</t>
        </is>
      </c>
      <c r="J43" s="78" t="n">
        <v>46347</v>
      </c>
      <c r="K43" s="55" t="n">
        <v>45251</v>
      </c>
      <c r="L43" s="55" t="n">
        <v>45251</v>
      </c>
      <c r="M43" s="39" t="inlineStr">
        <is>
          <t>erledigt</t>
        </is>
      </c>
      <c r="N43" s="57" t="inlineStr">
        <is>
          <t>HUAWEI Matebook 16s 2023 16 inch i9-13900H UMA 16GB 1 TB Space Gray WIN11 Home</t>
        </is>
      </c>
    </row>
    <row r="44">
      <c r="B44" s="47" t="inlineStr">
        <is>
          <t>Notebook</t>
        </is>
      </c>
      <c r="C44" s="39" t="inlineStr">
        <is>
          <t>Huawei</t>
        </is>
      </c>
      <c r="D44" s="39" t="inlineStr">
        <is>
          <t>MateBook 16s</t>
        </is>
      </c>
      <c r="E44" s="57" t="n"/>
      <c r="F44" s="4" t="inlineStr">
        <is>
          <t>KJEPO89463627925</t>
        </is>
      </c>
      <c r="G44" s="57" t="n"/>
      <c r="H44" s="57" t="inlineStr">
        <is>
          <t>93602308945</t>
        </is>
      </c>
      <c r="I44" s="57" t="inlineStr">
        <is>
          <t>Ja</t>
        </is>
      </c>
      <c r="J44" s="78" t="n">
        <v>46347</v>
      </c>
      <c r="K44" s="55" t="n">
        <v>45251</v>
      </c>
      <c r="L44" s="55" t="n">
        <v>45251</v>
      </c>
      <c r="M44" s="39" t="inlineStr">
        <is>
          <t>erledigt</t>
        </is>
      </c>
      <c r="N44" s="57" t="inlineStr">
        <is>
          <t>HUAWEI Matebook 16s 2023 16 inch i9-13900H UMA 16GB 1 TB Space Gray WIN11 Home</t>
        </is>
      </c>
    </row>
    <row r="45">
      <c r="B45" s="47" t="inlineStr">
        <is>
          <t>Notebook</t>
        </is>
      </c>
      <c r="C45" s="39" t="inlineStr">
        <is>
          <t>Huawei</t>
        </is>
      </c>
      <c r="D45" s="39" t="inlineStr">
        <is>
          <t>MateBook 16s</t>
        </is>
      </c>
      <c r="E45" s="57" t="n"/>
      <c r="F45" s="4" t="inlineStr">
        <is>
          <t>PJUUT10988816546</t>
        </is>
      </c>
      <c r="G45" s="57" t="n"/>
      <c r="H45" s="57" t="inlineStr">
        <is>
          <t>56665199767</t>
        </is>
      </c>
      <c r="I45" s="57" t="inlineStr">
        <is>
          <t>Ja</t>
        </is>
      </c>
      <c r="J45" s="78" t="n">
        <v>46347</v>
      </c>
      <c r="K45" s="55" t="n">
        <v>45251</v>
      </c>
      <c r="L45" s="55" t="n">
        <v>45251</v>
      </c>
      <c r="M45" s="39" t="inlineStr">
        <is>
          <t>erledigt</t>
        </is>
      </c>
      <c r="N45" s="57" t="inlineStr">
        <is>
          <t>HUAWEI Matebook 16s 2023 16 inch i9-13900H UMA 16GB 1 TB Space Gray WIN11 Home</t>
        </is>
      </c>
    </row>
    <row r="46" ht="31.2" customHeight="1">
      <c r="B46" s="47" t="inlineStr">
        <is>
          <t>Power Bank</t>
        </is>
      </c>
      <c r="C46" s="39" t="inlineStr">
        <is>
          <t>Ugreen</t>
        </is>
      </c>
      <c r="D46" s="40" t="inlineStr">
        <is>
          <t>140W Power Bank 145W Max 25000mAh</t>
        </is>
      </c>
      <c r="E46" s="57" t="inlineStr">
        <is>
          <t>WMC-PB-001</t>
        </is>
      </c>
      <c r="F46" s="57" t="n"/>
      <c r="G46" s="57" t="n"/>
      <c r="H46" s="57" t="n"/>
      <c r="I46" s="57" t="inlineStr">
        <is>
          <t>Ja</t>
        </is>
      </c>
      <c r="J46" s="78" t="n">
        <v>45982</v>
      </c>
      <c r="K46" s="55" t="n">
        <v>45251</v>
      </c>
      <c r="L46" s="55" t="n">
        <v>45251</v>
      </c>
      <c r="M46" s="39" t="inlineStr">
        <is>
          <t>erledigt</t>
        </is>
      </c>
      <c r="N46" s="57" t="n"/>
    </row>
    <row r="47" ht="31.2" customHeight="1">
      <c r="B47" s="47" t="inlineStr">
        <is>
          <t>Power Bank</t>
        </is>
      </c>
      <c r="C47" s="39" t="inlineStr">
        <is>
          <t>Ugreen</t>
        </is>
      </c>
      <c r="D47" s="40" t="inlineStr">
        <is>
          <t>140W Power Bank 145W Max 25000mAh</t>
        </is>
      </c>
      <c r="E47" s="57" t="inlineStr">
        <is>
          <t>WMC-PB-002</t>
        </is>
      </c>
      <c r="F47" s="57" t="n"/>
      <c r="G47" s="57" t="n"/>
      <c r="H47" s="57" t="n"/>
      <c r="I47" s="57" t="inlineStr">
        <is>
          <t>Ja</t>
        </is>
      </c>
      <c r="J47" s="78" t="n">
        <v>45982</v>
      </c>
      <c r="K47" s="55" t="n">
        <v>45251</v>
      </c>
      <c r="L47" s="55" t="n">
        <v>45251</v>
      </c>
      <c r="M47" s="39" t="inlineStr">
        <is>
          <t>erledigt</t>
        </is>
      </c>
      <c r="N47" s="57" t="n"/>
    </row>
    <row r="48" ht="31.2" customHeight="1">
      <c r="B48" s="47" t="inlineStr">
        <is>
          <t>Power Bank</t>
        </is>
      </c>
      <c r="C48" s="39" t="inlineStr">
        <is>
          <t>Ugreen</t>
        </is>
      </c>
      <c r="D48" s="40" t="inlineStr">
        <is>
          <t>140W Power Bank 145W Max 25000mAh</t>
        </is>
      </c>
      <c r="E48" s="57" t="inlineStr">
        <is>
          <t>WMC-PB-003</t>
        </is>
      </c>
      <c r="F48" s="57" t="n"/>
      <c r="G48" s="57" t="n"/>
      <c r="H48" s="57" t="n"/>
      <c r="I48" s="57" t="inlineStr">
        <is>
          <t>Ja</t>
        </is>
      </c>
      <c r="J48" s="78" t="n">
        <v>45982</v>
      </c>
      <c r="K48" s="55" t="n">
        <v>45251</v>
      </c>
      <c r="L48" s="55" t="n">
        <v>45251</v>
      </c>
      <c r="M48" s="39" t="inlineStr">
        <is>
          <t>erledigt</t>
        </is>
      </c>
      <c r="N48" s="57" t="n"/>
    </row>
    <row r="49" ht="31.2" customHeight="1">
      <c r="B49" s="47" t="inlineStr">
        <is>
          <t>Power Bank</t>
        </is>
      </c>
      <c r="C49" s="39" t="inlineStr">
        <is>
          <t>Ugreen</t>
        </is>
      </c>
      <c r="D49" s="40" t="inlineStr">
        <is>
          <t>140W Power Bank 145W Max 25000mAh</t>
        </is>
      </c>
      <c r="E49" s="57" t="inlineStr">
        <is>
          <t>WMC-PB-004</t>
        </is>
      </c>
      <c r="F49" s="57" t="n"/>
      <c r="G49" s="57" t="n"/>
      <c r="H49" s="57" t="n"/>
      <c r="I49" s="57" t="inlineStr">
        <is>
          <t>Ja</t>
        </is>
      </c>
      <c r="J49" s="78" t="n">
        <v>45982</v>
      </c>
      <c r="K49" s="55" t="n">
        <v>45251</v>
      </c>
      <c r="L49" s="55" t="n">
        <v>45251</v>
      </c>
      <c r="M49" s="39" t="inlineStr">
        <is>
          <t>erledigt</t>
        </is>
      </c>
      <c r="N49" s="57" t="n"/>
    </row>
    <row r="50" ht="31.2" customHeight="1">
      <c r="B50" s="47" t="inlineStr">
        <is>
          <t>Power Bank</t>
        </is>
      </c>
      <c r="C50" s="39" t="inlineStr">
        <is>
          <t>Ugreen</t>
        </is>
      </c>
      <c r="D50" s="40" t="inlineStr">
        <is>
          <t>140W Power Bank 145W Max 25000mAh</t>
        </is>
      </c>
      <c r="E50" s="57" t="inlineStr">
        <is>
          <t>WMC-PB-005</t>
        </is>
      </c>
      <c r="F50" s="57" t="n"/>
      <c r="G50" s="57" t="n"/>
      <c r="H50" s="57" t="n"/>
      <c r="I50" s="57" t="inlineStr">
        <is>
          <t>Ja</t>
        </is>
      </c>
      <c r="J50" s="78" t="n">
        <v>45982</v>
      </c>
      <c r="K50" s="55" t="n">
        <v>45251</v>
      </c>
      <c r="L50" s="55" t="n">
        <v>45251</v>
      </c>
      <c r="M50" s="39" t="inlineStr">
        <is>
          <t>erledigt</t>
        </is>
      </c>
      <c r="N50" s="57" t="n"/>
    </row>
    <row r="51" ht="31.2" customHeight="1">
      <c r="B51" s="47" t="inlineStr">
        <is>
          <t>Power Bank</t>
        </is>
      </c>
      <c r="C51" s="39" t="inlineStr">
        <is>
          <t>Ugreen</t>
        </is>
      </c>
      <c r="D51" s="40" t="inlineStr">
        <is>
          <t>140W Power Bank 145W Max 25000mAh</t>
        </is>
      </c>
      <c r="E51" s="57" t="inlineStr">
        <is>
          <t>WMC-PB-006</t>
        </is>
      </c>
      <c r="F51" s="57" t="n"/>
      <c r="G51" s="57" t="n"/>
      <c r="H51" s="57" t="n"/>
      <c r="I51" s="57" t="inlineStr">
        <is>
          <t>Ja</t>
        </is>
      </c>
      <c r="J51" s="78" t="n">
        <v>45982</v>
      </c>
      <c r="K51" s="55" t="n">
        <v>45251</v>
      </c>
      <c r="L51" s="55" t="n">
        <v>45251</v>
      </c>
      <c r="M51" s="39" t="inlineStr">
        <is>
          <t>erledigt</t>
        </is>
      </c>
      <c r="N51" s="57" t="n"/>
    </row>
    <row r="52" ht="31.2" customHeight="1">
      <c r="B52" s="47" t="inlineStr">
        <is>
          <t>Power Bank</t>
        </is>
      </c>
      <c r="C52" s="39" t="inlineStr">
        <is>
          <t>Ugreen</t>
        </is>
      </c>
      <c r="D52" s="40" t="inlineStr">
        <is>
          <t>140W Power Bank 145W Max 25000mAh</t>
        </is>
      </c>
      <c r="E52" s="57" t="inlineStr">
        <is>
          <t>WMC-PB-007</t>
        </is>
      </c>
      <c r="F52" s="57" t="n"/>
      <c r="G52" s="57" t="n"/>
      <c r="H52" s="57" t="n"/>
      <c r="I52" s="57" t="inlineStr">
        <is>
          <t>Ja</t>
        </is>
      </c>
      <c r="J52" s="78" t="n">
        <v>45982</v>
      </c>
      <c r="K52" s="55" t="n">
        <v>45251</v>
      </c>
      <c r="L52" s="55" t="n">
        <v>45251</v>
      </c>
      <c r="M52" s="39" t="inlineStr">
        <is>
          <t>erledigt</t>
        </is>
      </c>
      <c r="N52" s="57" t="n"/>
    </row>
    <row r="53" ht="31.2" customHeight="1">
      <c r="B53" s="47" t="inlineStr">
        <is>
          <t>Power Bank</t>
        </is>
      </c>
      <c r="C53" s="39" t="inlineStr">
        <is>
          <t>Ugreen</t>
        </is>
      </c>
      <c r="D53" s="40" t="inlineStr">
        <is>
          <t>140W Power Bank 145W Max 25000mAh</t>
        </is>
      </c>
      <c r="E53" s="57" t="inlineStr">
        <is>
          <t>WMC-PB-008</t>
        </is>
      </c>
      <c r="F53" s="57" t="n"/>
      <c r="G53" s="57" t="n"/>
      <c r="H53" s="57" t="n"/>
      <c r="I53" s="57" t="inlineStr">
        <is>
          <t>Ja</t>
        </is>
      </c>
      <c r="J53" s="78" t="n">
        <v>45982</v>
      </c>
      <c r="K53" s="55" t="n">
        <v>45251</v>
      </c>
      <c r="L53" s="55" t="n">
        <v>45251</v>
      </c>
      <c r="M53" s="39" t="inlineStr">
        <is>
          <t>erledigt</t>
        </is>
      </c>
      <c r="N53" s="57" t="n"/>
    </row>
    <row r="54" ht="31.2" customHeight="1">
      <c r="B54" s="47" t="inlineStr">
        <is>
          <t>Power Bank</t>
        </is>
      </c>
      <c r="C54" s="39" t="inlineStr">
        <is>
          <t>Ugreen</t>
        </is>
      </c>
      <c r="D54" s="40" t="inlineStr">
        <is>
          <t>140W Power Bank 145W Max 25000mAh</t>
        </is>
      </c>
      <c r="E54" s="57" t="inlineStr">
        <is>
          <t>WMC-PB-009</t>
        </is>
      </c>
      <c r="F54" s="57" t="n"/>
      <c r="G54" s="57" t="n"/>
      <c r="H54" s="57" t="n"/>
      <c r="I54" s="57" t="inlineStr">
        <is>
          <t>Ja</t>
        </is>
      </c>
      <c r="J54" s="78" t="n">
        <v>45982</v>
      </c>
      <c r="K54" s="55" t="n">
        <v>45251</v>
      </c>
      <c r="L54" s="55" t="n">
        <v>45251</v>
      </c>
      <c r="M54" s="39" t="inlineStr">
        <is>
          <t>erledigt</t>
        </is>
      </c>
      <c r="N54" s="57" t="n"/>
    </row>
    <row r="55" ht="31.2" customHeight="1">
      <c r="B55" s="47" t="inlineStr">
        <is>
          <t>Power Bank</t>
        </is>
      </c>
      <c r="C55" s="39" t="inlineStr">
        <is>
          <t>Ugreen</t>
        </is>
      </c>
      <c r="D55" s="40" t="inlineStr">
        <is>
          <t>140W Power Bank 145W Max 25000mAh</t>
        </is>
      </c>
      <c r="E55" s="57" t="inlineStr">
        <is>
          <t>WMC-PB-010</t>
        </is>
      </c>
      <c r="F55" s="57" t="n"/>
      <c r="G55" s="57" t="n"/>
      <c r="H55" s="57" t="n"/>
      <c r="I55" s="57" t="inlineStr">
        <is>
          <t>Ja</t>
        </is>
      </c>
      <c r="J55" s="78" t="n">
        <v>45982</v>
      </c>
      <c r="K55" s="55" t="n">
        <v>45251</v>
      </c>
      <c r="L55" s="55" t="n">
        <v>45251</v>
      </c>
      <c r="M55" s="39" t="inlineStr">
        <is>
          <t>erledigt</t>
        </is>
      </c>
      <c r="N55" s="57" t="inlineStr">
        <is>
          <t>Konrad</t>
        </is>
      </c>
    </row>
    <row r="56">
      <c r="B56" s="47" t="inlineStr">
        <is>
          <t>Headset</t>
        </is>
      </c>
      <c r="C56" s="39" t="inlineStr">
        <is>
          <t>Bose</t>
        </is>
      </c>
      <c r="D56" s="39" t="inlineStr">
        <is>
          <t>Quiet Comfort Ultra</t>
        </is>
      </c>
      <c r="E56" s="57" t="inlineStr">
        <is>
          <t>WMC-HS-001</t>
        </is>
      </c>
      <c r="F56" s="57" t="inlineStr">
        <is>
          <t>796140K62384976SP</t>
        </is>
      </c>
      <c r="G56" s="57" t="n"/>
      <c r="H56" s="57" t="n"/>
      <c r="I56" s="57" t="inlineStr">
        <is>
          <t>Ja</t>
        </is>
      </c>
      <c r="J56" s="78" t="n">
        <v>45982</v>
      </c>
      <c r="K56" s="55" t="n">
        <v>45251</v>
      </c>
      <c r="L56" s="55" t="n">
        <v>45251</v>
      </c>
      <c r="M56" s="39" t="inlineStr">
        <is>
          <t>erledigt</t>
        </is>
      </c>
      <c r="N56" s="57" t="n"/>
    </row>
    <row r="57">
      <c r="B57" s="47" t="inlineStr">
        <is>
          <t>Headset</t>
        </is>
      </c>
      <c r="C57" s="39" t="inlineStr">
        <is>
          <t>Bose</t>
        </is>
      </c>
      <c r="D57" s="39" t="inlineStr">
        <is>
          <t>Quiet Comfort Ultra</t>
        </is>
      </c>
      <c r="E57" s="57" t="inlineStr">
        <is>
          <t>WMC-HS-002</t>
        </is>
      </c>
      <c r="F57" s="57" t="inlineStr">
        <is>
          <t>805358Z70085840XD</t>
        </is>
      </c>
      <c r="G57" s="57" t="n"/>
      <c r="H57" s="57" t="n"/>
      <c r="I57" s="57" t="inlineStr">
        <is>
          <t>Ja</t>
        </is>
      </c>
      <c r="J57" s="78" t="n">
        <v>45982</v>
      </c>
      <c r="K57" s="55" t="n">
        <v>45251</v>
      </c>
      <c r="L57" s="55" t="n">
        <v>45251</v>
      </c>
      <c r="M57" s="39" t="inlineStr">
        <is>
          <t>erledigt</t>
        </is>
      </c>
      <c r="N57" s="57" t="n"/>
    </row>
    <row r="58">
      <c r="B58" s="47" t="inlineStr">
        <is>
          <t>Headset</t>
        </is>
      </c>
      <c r="C58" s="39" t="inlineStr">
        <is>
          <t>Bose</t>
        </is>
      </c>
      <c r="D58" s="39" t="inlineStr">
        <is>
          <t>Quiet Comfort Ultra</t>
        </is>
      </c>
      <c r="E58" s="57" t="inlineStr">
        <is>
          <t>WMC-HS-003</t>
        </is>
      </c>
      <c r="F58" s="57" t="inlineStr">
        <is>
          <t>258155V45174413CU</t>
        </is>
      </c>
      <c r="G58" s="57" t="n"/>
      <c r="H58" s="57" t="n"/>
      <c r="I58" s="57" t="n"/>
      <c r="J58" s="78" t="n"/>
      <c r="K58" s="55" t="n"/>
      <c r="L58" s="55" t="n"/>
      <c r="M58" s="39" t="n"/>
      <c r="N58" s="57" t="n"/>
    </row>
    <row r="59">
      <c r="B59" s="47" t="inlineStr">
        <is>
          <t>Headset</t>
        </is>
      </c>
      <c r="C59" s="39" t="inlineStr">
        <is>
          <t>Bose</t>
        </is>
      </c>
      <c r="D59" s="39" t="inlineStr">
        <is>
          <t>Quiet Comfort Ultra</t>
        </is>
      </c>
      <c r="E59" s="57" t="inlineStr">
        <is>
          <t>WMC-HS-004</t>
        </is>
      </c>
      <c r="F59" s="57" t="inlineStr">
        <is>
          <t>293930F52295138BB</t>
        </is>
      </c>
      <c r="G59" s="57" t="n"/>
      <c r="H59" s="57" t="n"/>
      <c r="I59" s="57" t="inlineStr">
        <is>
          <t>Ja</t>
        </is>
      </c>
      <c r="J59" s="78" t="n">
        <v>45982</v>
      </c>
      <c r="K59" s="55" t="n">
        <v>45251</v>
      </c>
      <c r="L59" s="55" t="n">
        <v>45251</v>
      </c>
      <c r="M59" s="39" t="inlineStr">
        <is>
          <t>erledigt</t>
        </is>
      </c>
      <c r="N59" s="57" t="n"/>
    </row>
    <row r="60">
      <c r="B60" s="47" t="inlineStr">
        <is>
          <t>Monitor</t>
        </is>
      </c>
      <c r="C60" s="39" t="inlineStr">
        <is>
          <t>Samsung</t>
        </is>
      </c>
      <c r="D60" s="39" t="inlineStr">
        <is>
          <t>U28R550UQP</t>
        </is>
      </c>
      <c r="E60" s="57" t="n"/>
      <c r="F60" s="57" t="n"/>
      <c r="G60" s="57" t="n"/>
      <c r="H60" s="57" t="n"/>
      <c r="I60" s="57" t="inlineStr">
        <is>
          <t>Ja</t>
        </is>
      </c>
      <c r="J60" s="78" t="n">
        <v>45982</v>
      </c>
      <c r="K60" s="55" t="n">
        <v>45251</v>
      </c>
      <c r="L60" s="55" t="n">
        <v>45251</v>
      </c>
      <c r="M60" s="39" t="inlineStr">
        <is>
          <t>erledigt</t>
        </is>
      </c>
      <c r="N60" s="57" t="n"/>
    </row>
    <row r="61">
      <c r="B61" s="47" t="inlineStr">
        <is>
          <t>Monitor</t>
        </is>
      </c>
      <c r="C61" s="39" t="inlineStr">
        <is>
          <t>Samsung</t>
        </is>
      </c>
      <c r="D61" s="39" t="inlineStr">
        <is>
          <t>U28R550UQP</t>
        </is>
      </c>
      <c r="E61" s="57" t="n"/>
      <c r="F61" s="57" t="n"/>
      <c r="G61" s="57" t="n"/>
      <c r="H61" s="57" t="n"/>
      <c r="I61" s="57" t="inlineStr">
        <is>
          <t>Ja</t>
        </is>
      </c>
      <c r="J61" s="78" t="n">
        <v>45982</v>
      </c>
      <c r="K61" s="55" t="n">
        <v>45251</v>
      </c>
      <c r="L61" s="55" t="n">
        <v>45251</v>
      </c>
      <c r="M61" s="39" t="inlineStr">
        <is>
          <t>erledigt</t>
        </is>
      </c>
      <c r="N61" s="57" t="n"/>
    </row>
    <row r="62">
      <c r="B62" s="47" t="inlineStr">
        <is>
          <t>Monitor</t>
        </is>
      </c>
      <c r="C62" s="39" t="inlineStr">
        <is>
          <t>Samsung</t>
        </is>
      </c>
      <c r="D62" s="39" t="inlineStr">
        <is>
          <t>U28R550UQP</t>
        </is>
      </c>
      <c r="E62" s="57" t="n"/>
      <c r="F62" s="57" t="n"/>
      <c r="G62" s="57" t="n"/>
      <c r="H62" s="57" t="n"/>
      <c r="I62" s="57" t="inlineStr">
        <is>
          <t>Ja</t>
        </is>
      </c>
      <c r="J62" s="78" t="n">
        <v>45982</v>
      </c>
      <c r="K62" s="55" t="n">
        <v>45251</v>
      </c>
      <c r="L62" s="55" t="n">
        <v>45251</v>
      </c>
      <c r="M62" s="39" t="inlineStr">
        <is>
          <t>erledigt</t>
        </is>
      </c>
      <c r="N62" s="57" t="n"/>
    </row>
    <row r="63">
      <c r="B63" s="47" t="inlineStr">
        <is>
          <t>Docking Station</t>
        </is>
      </c>
      <c r="C63" s="39" t="inlineStr">
        <is>
          <t>ICY BOX</t>
        </is>
      </c>
      <c r="D63" s="39" t="inlineStr">
        <is>
          <t>IB-DK2254AC</t>
        </is>
      </c>
      <c r="E63" s="57" t="inlineStr">
        <is>
          <t>WMC-DS-001</t>
        </is>
      </c>
      <c r="F63" s="84" t="inlineStr">
        <is>
          <t>3691477346657</t>
        </is>
      </c>
      <c r="G63" s="57" t="n"/>
      <c r="H63" s="57" t="n"/>
      <c r="I63" s="57" t="inlineStr">
        <is>
          <t>Ja</t>
        </is>
      </c>
      <c r="J63" s="78" t="n">
        <v>45983</v>
      </c>
      <c r="K63" s="55" t="n"/>
      <c r="L63" s="55" t="n"/>
      <c r="M63" s="39" t="inlineStr">
        <is>
          <t>erledigt</t>
        </is>
      </c>
      <c r="N63" s="57" t="inlineStr">
        <is>
          <t>Ben</t>
        </is>
      </c>
    </row>
    <row r="64">
      <c r="B64" s="47" t="inlineStr">
        <is>
          <t>Docking Station</t>
        </is>
      </c>
      <c r="C64" s="39" t="inlineStr">
        <is>
          <t>ICY BOX</t>
        </is>
      </c>
      <c r="D64" s="39" t="inlineStr">
        <is>
          <t>IB-DK2254AC</t>
        </is>
      </c>
      <c r="E64" s="57" t="inlineStr">
        <is>
          <t>WMC-DS-002</t>
        </is>
      </c>
      <c r="F64" s="84" t="inlineStr">
        <is>
          <t>5632938228886</t>
        </is>
      </c>
      <c r="G64" s="57" t="n"/>
      <c r="H64" s="57" t="n"/>
      <c r="I64" s="57" t="inlineStr">
        <is>
          <t>Ja</t>
        </is>
      </c>
      <c r="J64" s="78" t="n">
        <v>45983</v>
      </c>
      <c r="K64" s="55" t="n"/>
      <c r="L64" s="55" t="n"/>
      <c r="M64" s="39" t="inlineStr">
        <is>
          <t>erledigt</t>
        </is>
      </c>
      <c r="N64" s="57" t="inlineStr">
        <is>
          <t>Martin</t>
        </is>
      </c>
    </row>
    <row r="65">
      <c r="B65" s="47" t="inlineStr">
        <is>
          <t>Docking Station</t>
        </is>
      </c>
      <c r="C65" s="39" t="inlineStr">
        <is>
          <t>ICY BOX</t>
        </is>
      </c>
      <c r="D65" s="39" t="inlineStr">
        <is>
          <t>IB-DK2254AC</t>
        </is>
      </c>
      <c r="E65" s="57" t="inlineStr">
        <is>
          <t>WMC-DS-003</t>
        </is>
      </c>
      <c r="F65" s="84" t="inlineStr">
        <is>
          <t>8262566997832</t>
        </is>
      </c>
      <c r="G65" s="57" t="n"/>
      <c r="H65" s="57" t="n"/>
      <c r="I65" s="57" t="inlineStr">
        <is>
          <t>Ja</t>
        </is>
      </c>
      <c r="J65" s="78" t="n">
        <v>45983</v>
      </c>
      <c r="K65" s="55" t="n"/>
      <c r="L65" s="55" t="n"/>
      <c r="M65" s="39" t="inlineStr">
        <is>
          <t>erledigt</t>
        </is>
      </c>
      <c r="N65" s="57" t="inlineStr">
        <is>
          <t>Mei</t>
        </is>
      </c>
    </row>
    <row r="66">
      <c r="B66" s="47" t="inlineStr">
        <is>
          <t>Docking Station</t>
        </is>
      </c>
      <c r="C66" s="39" t="inlineStr">
        <is>
          <t>ICY BOX</t>
        </is>
      </c>
      <c r="D66" s="39" t="inlineStr">
        <is>
          <t>IB-DK2254AC</t>
        </is>
      </c>
      <c r="E66" s="57" t="inlineStr">
        <is>
          <t>WMC-DS-004</t>
        </is>
      </c>
      <c r="F66" s="84" t="inlineStr">
        <is>
          <t>5209942881833</t>
        </is>
      </c>
      <c r="G66" s="57" t="n"/>
      <c r="H66" s="57" t="n"/>
      <c r="I66" s="57" t="inlineStr">
        <is>
          <t>Ja</t>
        </is>
      </c>
      <c r="J66" s="78" t="n">
        <v>45983</v>
      </c>
      <c r="K66" s="55" t="n"/>
      <c r="L66" s="55" t="n"/>
      <c r="M66" s="39" t="inlineStr">
        <is>
          <t>erledigt</t>
        </is>
      </c>
      <c r="N66" s="57" t="inlineStr">
        <is>
          <t>Aidan</t>
        </is>
      </c>
    </row>
    <row r="67">
      <c r="B67" s="47" t="inlineStr">
        <is>
          <t>Docking Station</t>
        </is>
      </c>
      <c r="C67" s="39" t="inlineStr">
        <is>
          <t>ICY BOX</t>
        </is>
      </c>
      <c r="D67" s="39" t="inlineStr">
        <is>
          <t>IB-DK2254AC</t>
        </is>
      </c>
      <c r="E67" s="57" t="inlineStr">
        <is>
          <t>WMC-DS-005</t>
        </is>
      </c>
      <c r="F67" s="84" t="inlineStr">
        <is>
          <t>5299062788477</t>
        </is>
      </c>
      <c r="G67" s="57" t="n"/>
      <c r="H67" s="57" t="n"/>
      <c r="I67" s="57" t="inlineStr">
        <is>
          <t>Ja</t>
        </is>
      </c>
      <c r="J67" s="78" t="n">
        <v>45983</v>
      </c>
      <c r="K67" s="55" t="n"/>
      <c r="L67" s="55" t="n"/>
      <c r="M67" s="39" t="inlineStr">
        <is>
          <t>erledigt</t>
        </is>
      </c>
      <c r="N67" s="57" t="inlineStr">
        <is>
          <t>Simon</t>
        </is>
      </c>
    </row>
    <row r="68">
      <c r="B68" s="47" t="inlineStr">
        <is>
          <t>Docking Station</t>
        </is>
      </c>
      <c r="C68" s="39" t="inlineStr">
        <is>
          <t>ICY BOX</t>
        </is>
      </c>
      <c r="D68" s="39" t="inlineStr">
        <is>
          <t>IB-DK2254AC</t>
        </is>
      </c>
      <c r="E68" s="57" t="inlineStr">
        <is>
          <t>WMC-DS-006</t>
        </is>
      </c>
      <c r="F68" s="85" t="inlineStr">
        <is>
          <t>7259784638970</t>
        </is>
      </c>
      <c r="G68" s="57" t="n"/>
      <c r="H68" s="57" t="n"/>
      <c r="I68" s="57" t="inlineStr">
        <is>
          <t>Ja</t>
        </is>
      </c>
      <c r="J68" s="78" t="n">
        <v>45983</v>
      </c>
      <c r="K68" s="55" t="n"/>
      <c r="L68" s="55" t="n"/>
      <c r="M68" s="39" t="inlineStr">
        <is>
          <t>erledigt</t>
        </is>
      </c>
      <c r="N68" s="57" t="inlineStr">
        <is>
          <t>Marta</t>
        </is>
      </c>
    </row>
    <row r="69">
      <c r="B69" s="47" t="inlineStr">
        <is>
          <t>Docking Station</t>
        </is>
      </c>
      <c r="C69" s="39" t="inlineStr">
        <is>
          <t>ICY BOX</t>
        </is>
      </c>
      <c r="D69" s="39" t="inlineStr">
        <is>
          <t>IB-DK2254AC</t>
        </is>
      </c>
      <c r="E69" s="57" t="inlineStr">
        <is>
          <t>WMC-DS-007</t>
        </is>
      </c>
      <c r="F69" s="84" t="inlineStr">
        <is>
          <t>8723530255823</t>
        </is>
      </c>
      <c r="G69" s="57" t="n"/>
      <c r="H69" s="57" t="n"/>
      <c r="I69" s="57" t="inlineStr">
        <is>
          <t>Ja</t>
        </is>
      </c>
      <c r="J69" s="78" t="n">
        <v>45983</v>
      </c>
      <c r="K69" s="55" t="n"/>
      <c r="L69" s="55" t="n"/>
      <c r="M69" s="39" t="inlineStr">
        <is>
          <t>erledigt</t>
        </is>
      </c>
      <c r="N69" s="57" t="inlineStr">
        <is>
          <t>Küche</t>
        </is>
      </c>
    </row>
    <row r="70">
      <c r="B70" s="47" t="inlineStr">
        <is>
          <t>Docking Station</t>
        </is>
      </c>
      <c r="C70" s="39" t="inlineStr">
        <is>
          <t>ICY BOX</t>
        </is>
      </c>
      <c r="D70" s="39" t="inlineStr">
        <is>
          <t>IB-DK2254AC</t>
        </is>
      </c>
      <c r="E70" s="57" t="inlineStr">
        <is>
          <t>WMC-DS-008</t>
        </is>
      </c>
      <c r="F70" s="84" t="n"/>
      <c r="G70" s="57" t="n"/>
      <c r="H70" s="57" t="n"/>
      <c r="I70" s="57" t="inlineStr">
        <is>
          <t>Ja</t>
        </is>
      </c>
      <c r="J70" s="78" t="n">
        <v>45983</v>
      </c>
      <c r="K70" s="55" t="n"/>
      <c r="L70" s="55" t="n"/>
      <c r="M70" s="39" t="inlineStr">
        <is>
          <t>erledigt</t>
        </is>
      </c>
      <c r="N70" s="57" t="n"/>
    </row>
    <row r="71" ht="31.2" customHeight="1">
      <c r="B71" s="47" t="inlineStr">
        <is>
          <t>USB-Hub</t>
        </is>
      </c>
      <c r="C71" s="39" t="inlineStr">
        <is>
          <t>RSH Tech</t>
        </is>
      </c>
      <c r="D71" s="40" t="inlineStr">
        <is>
          <t>RSH-ST310 - USB-A &amp; USB-C to Ethernet Hub</t>
        </is>
      </c>
      <c r="E71" s="57" t="inlineStr">
        <is>
          <t>WMC-HB-01</t>
        </is>
      </c>
      <c r="F71" s="57" t="n"/>
      <c r="G71" s="57" t="n"/>
      <c r="H71" s="57" t="n"/>
      <c r="I71" s="57" t="inlineStr">
        <is>
          <t>Ja</t>
        </is>
      </c>
      <c r="J71" s="55" t="n">
        <v>46148</v>
      </c>
      <c r="K71" s="55" t="n">
        <v>45418</v>
      </c>
      <c r="L71" s="55" t="n">
        <v>45418</v>
      </c>
      <c r="M71" s="39" t="inlineStr">
        <is>
          <t>erledigt</t>
        </is>
      </c>
      <c r="N71" s="57" t="n"/>
    </row>
    <row r="72" ht="31.2" customHeight="1">
      <c r="B72" s="47" t="inlineStr">
        <is>
          <t>USB-Hub</t>
        </is>
      </c>
      <c r="C72" s="39" t="inlineStr">
        <is>
          <t>RSH Tech</t>
        </is>
      </c>
      <c r="D72" s="40" t="inlineStr">
        <is>
          <t>RSH-ST310 - USB-A &amp; USB-C to Ethernet Hub</t>
        </is>
      </c>
      <c r="E72" s="57" t="inlineStr">
        <is>
          <t>WMC-HB-02</t>
        </is>
      </c>
      <c r="F72" s="57" t="n"/>
      <c r="G72" s="57" t="n"/>
      <c r="H72" s="57" t="n"/>
      <c r="I72" s="57" t="inlineStr">
        <is>
          <t>Ja</t>
        </is>
      </c>
      <c r="J72" s="55" t="n">
        <v>46148</v>
      </c>
      <c r="K72" s="55" t="n">
        <v>45418</v>
      </c>
      <c r="L72" s="55" t="n">
        <v>45418</v>
      </c>
      <c r="M72" s="39" t="inlineStr">
        <is>
          <t>erledigt</t>
        </is>
      </c>
      <c r="N72" s="57" t="n"/>
    </row>
    <row r="73" ht="31.2" customHeight="1">
      <c r="B73" s="47" t="inlineStr">
        <is>
          <t>USB-Hub</t>
        </is>
      </c>
      <c r="C73" s="39" t="inlineStr">
        <is>
          <t>RSH Tech</t>
        </is>
      </c>
      <c r="D73" s="40" t="inlineStr">
        <is>
          <t>RSH-ST310 - USB-A &amp; USB-C to Ethernet Hub</t>
        </is>
      </c>
      <c r="E73" s="57" t="inlineStr">
        <is>
          <t>WMC-HB-03</t>
        </is>
      </c>
      <c r="F73" s="57" t="n"/>
      <c r="G73" s="57" t="n"/>
      <c r="H73" s="57" t="n"/>
      <c r="I73" s="57" t="inlineStr">
        <is>
          <t>Ja</t>
        </is>
      </c>
      <c r="J73" s="55" t="n">
        <v>46148</v>
      </c>
      <c r="K73" s="55" t="n">
        <v>45418</v>
      </c>
      <c r="L73" s="55" t="n">
        <v>45418</v>
      </c>
      <c r="M73" s="39" t="inlineStr">
        <is>
          <t>erledigt</t>
        </is>
      </c>
      <c r="N73" s="57" t="n"/>
    </row>
    <row r="74" ht="31.2" customHeight="1">
      <c r="B74" s="47" t="inlineStr">
        <is>
          <t>USB-Hub</t>
        </is>
      </c>
      <c r="C74" s="39" t="inlineStr">
        <is>
          <t>RSH Tech</t>
        </is>
      </c>
      <c r="D74" s="40" t="inlineStr">
        <is>
          <t>RSH-ST310 - USB-A &amp; USB-C to Ethernet Hub</t>
        </is>
      </c>
      <c r="E74" s="57" t="inlineStr">
        <is>
          <t>WMC-HB-04</t>
        </is>
      </c>
      <c r="F74" s="57" t="n"/>
      <c r="G74" s="57" t="n"/>
      <c r="H74" s="57" t="n"/>
      <c r="I74" s="57" t="inlineStr">
        <is>
          <t>Ja</t>
        </is>
      </c>
      <c r="J74" s="55" t="n">
        <v>46148</v>
      </c>
      <c r="K74" s="55" t="n">
        <v>45418</v>
      </c>
      <c r="L74" s="55" t="n">
        <v>45418</v>
      </c>
      <c r="M74" s="39" t="inlineStr">
        <is>
          <t>erledigt</t>
        </is>
      </c>
      <c r="N74" s="57" t="n"/>
    </row>
    <row r="75" ht="31.2" customHeight="1">
      <c r="B75" s="47" t="inlineStr">
        <is>
          <t>USB-Hub</t>
        </is>
      </c>
      <c r="C75" s="39" t="inlineStr">
        <is>
          <t>RSH Tech</t>
        </is>
      </c>
      <c r="D75" s="40" t="inlineStr">
        <is>
          <t>RSH-ST310 - USB-A &amp; USB-C to Ethernet Hub</t>
        </is>
      </c>
      <c r="E75" s="57" t="inlineStr">
        <is>
          <t>WMC-HB-05</t>
        </is>
      </c>
      <c r="F75" s="57" t="n"/>
      <c r="G75" s="57" t="n"/>
      <c r="H75" s="57" t="n"/>
      <c r="I75" s="57" t="inlineStr">
        <is>
          <t>Ja</t>
        </is>
      </c>
      <c r="J75" s="55" t="n">
        <v>46148</v>
      </c>
      <c r="K75" s="55" t="n">
        <v>45418</v>
      </c>
      <c r="L75" s="55" t="n">
        <v>45418</v>
      </c>
      <c r="M75" s="39" t="inlineStr">
        <is>
          <t>erledigt</t>
        </is>
      </c>
      <c r="N75" s="57" t="n"/>
    </row>
    <row r="76" ht="31.2" customHeight="1">
      <c r="B76" s="47" t="inlineStr">
        <is>
          <t>USB-Hub</t>
        </is>
      </c>
      <c r="C76" s="39" t="inlineStr">
        <is>
          <t>RSH Tech</t>
        </is>
      </c>
      <c r="D76" s="40" t="inlineStr">
        <is>
          <t>RSH-ST310 - USB-A &amp; USB-C to Ethernet Hub</t>
        </is>
      </c>
      <c r="E76" s="57" t="inlineStr">
        <is>
          <t>WMC-HB-06</t>
        </is>
      </c>
      <c r="F76" s="57" t="n"/>
      <c r="G76" s="57" t="n"/>
      <c r="H76" s="57" t="n"/>
      <c r="I76" s="57" t="inlineStr">
        <is>
          <t>Ja</t>
        </is>
      </c>
      <c r="J76" s="55" t="n">
        <v>46148</v>
      </c>
      <c r="K76" s="55" t="n">
        <v>45418</v>
      </c>
      <c r="L76" s="55" t="n">
        <v>45418</v>
      </c>
      <c r="M76" s="39" t="inlineStr">
        <is>
          <t>erledigt</t>
        </is>
      </c>
      <c r="N76" s="57" t="n"/>
    </row>
    <row r="77" ht="31.2" customHeight="1">
      <c r="B77" s="47" t="inlineStr">
        <is>
          <t>USB-Hub</t>
        </is>
      </c>
      <c r="C77" s="39" t="inlineStr">
        <is>
          <t>RSH Tech</t>
        </is>
      </c>
      <c r="D77" s="40" t="inlineStr">
        <is>
          <t>RSH-ST310 - USB-A &amp; USB-C to Ethernet Hub</t>
        </is>
      </c>
      <c r="E77" s="57" t="inlineStr">
        <is>
          <t>WMC-HB-07</t>
        </is>
      </c>
      <c r="F77" s="57" t="n"/>
      <c r="G77" s="57" t="n"/>
      <c r="H77" s="57" t="n"/>
      <c r="I77" s="57" t="inlineStr">
        <is>
          <t>Ja</t>
        </is>
      </c>
      <c r="J77" s="55" t="n">
        <v>46148</v>
      </c>
      <c r="K77" s="55" t="n">
        <v>45418</v>
      </c>
      <c r="L77" s="55" t="n">
        <v>45418</v>
      </c>
      <c r="M77" s="39" t="inlineStr">
        <is>
          <t>erledigt</t>
        </is>
      </c>
      <c r="N77" s="57" t="n"/>
    </row>
    <row r="78" ht="31.2" customHeight="1">
      <c r="B78" s="47" t="inlineStr">
        <is>
          <t>USB-Hub</t>
        </is>
      </c>
      <c r="C78" s="39" t="inlineStr">
        <is>
          <t>RSH Tech</t>
        </is>
      </c>
      <c r="D78" s="40" t="inlineStr">
        <is>
          <t>RSH-ST310 - USB-A &amp; USB-C to Ethernet Hub</t>
        </is>
      </c>
      <c r="E78" s="57" t="inlineStr">
        <is>
          <t>WMC-HB-08</t>
        </is>
      </c>
      <c r="F78" s="57" t="n"/>
      <c r="G78" s="57" t="n"/>
      <c r="H78" s="57" t="n"/>
      <c r="I78" s="57" t="inlineStr">
        <is>
          <t>Ja</t>
        </is>
      </c>
      <c r="J78" s="55" t="n">
        <v>46148</v>
      </c>
      <c r="K78" s="55" t="n">
        <v>45418</v>
      </c>
      <c r="L78" s="55" t="n">
        <v>45418</v>
      </c>
      <c r="M78" s="39" t="inlineStr">
        <is>
          <t>erledigt</t>
        </is>
      </c>
      <c r="N78" s="57" t="n"/>
    </row>
    <row r="79">
      <c r="B79" s="47" t="inlineStr">
        <is>
          <t>Mikrofon</t>
        </is>
      </c>
      <c r="C79" s="39" t="inlineStr">
        <is>
          <t>DJI</t>
        </is>
      </c>
      <c r="D79" s="39" t="inlineStr">
        <is>
          <t>DJI Mic 2</t>
        </is>
      </c>
      <c r="E79" s="57" t="inlineStr">
        <is>
          <t>WMC-M-02</t>
        </is>
      </c>
      <c r="F79" s="57" t="inlineStr">
        <is>
          <t>0PPPPSN2104OTZ</t>
        </is>
      </c>
      <c r="G79" s="57" t="n"/>
      <c r="H79" s="57" t="inlineStr">
        <is>
          <t>FWNFO40435411BG</t>
        </is>
      </c>
      <c r="I79" s="57" t="inlineStr">
        <is>
          <t>Ja</t>
        </is>
      </c>
      <c r="J79" s="55" t="n">
        <v>46171</v>
      </c>
      <c r="K79" s="55" t="n">
        <v>45441</v>
      </c>
      <c r="L79" s="55" t="n">
        <v>45441</v>
      </c>
      <c r="M79" s="39" t="inlineStr">
        <is>
          <t>erledigt</t>
        </is>
      </c>
      <c r="N79" s="57" t="n"/>
    </row>
    <row r="80">
      <c r="B80" s="47" t="inlineStr">
        <is>
          <t>Tablet</t>
        </is>
      </c>
      <c r="C80" s="39" t="inlineStr">
        <is>
          <t>Apple</t>
        </is>
      </c>
      <c r="D80" s="91" t="inlineStr">
        <is>
          <t>Ipad Air 13 Zoll</t>
        </is>
      </c>
      <c r="E80" s="57" t="inlineStr">
        <is>
          <t>WMC-HB-07</t>
        </is>
      </c>
      <c r="F80" s="57" t="inlineStr">
        <is>
          <t>GW6K6827HZ</t>
        </is>
      </c>
      <c r="G80" s="57" t="n"/>
      <c r="H80" s="57" t="inlineStr">
        <is>
          <t>ZP9016A094871916933</t>
        </is>
      </c>
      <c r="I80" s="57" t="inlineStr">
        <is>
          <t>ja</t>
        </is>
      </c>
      <c r="J80" s="78" t="n">
        <v>45826</v>
      </c>
      <c r="K80" s="55" t="n">
        <v>45461</v>
      </c>
      <c r="L80" s="55" t="n">
        <v>45461</v>
      </c>
      <c r="M80" s="39" t="inlineStr">
        <is>
          <t>erledigt</t>
        </is>
      </c>
      <c r="N80" s="57" t="inlineStr">
        <is>
          <t>1. Jahr Garantie. Ipad wird nicht repariert sondern ausgetauscht. Zuzahlung 660,-€ erforderlich.</t>
        </is>
      </c>
    </row>
    <row r="81">
      <c r="B81" s="47" t="inlineStr">
        <is>
          <t>Gimbel-Büro</t>
        </is>
      </c>
      <c r="C81" s="39" t="inlineStr">
        <is>
          <t>DJI</t>
        </is>
      </c>
      <c r="D81" s="39" t="inlineStr">
        <is>
          <t>Osmo Pocket 3 - Büro</t>
        </is>
      </c>
      <c r="E81" s="57" t="n"/>
      <c r="F81" s="57" t="inlineStr">
        <is>
          <t>5LSQC8A7977IHX</t>
        </is>
      </c>
      <c r="G81" s="57" t="n"/>
      <c r="H81" s="81" t="n"/>
      <c r="I81" s="57" t="inlineStr">
        <is>
          <t>Ja</t>
        </is>
      </c>
      <c r="J81" s="78" t="n">
        <v>46192</v>
      </c>
      <c r="K81" s="55" t="n">
        <v>45462</v>
      </c>
      <c r="L81" s="55" t="n">
        <v>45462</v>
      </c>
      <c r="M81" s="39" t="inlineStr">
        <is>
          <t>erledigt</t>
        </is>
      </c>
      <c r="N81" s="57" t="inlineStr">
        <is>
          <t>Für Büro Aufnahmen und in der Nähe. DJI Care Refresh 2-Year Plan (Osmo Pocket 3), (4 x Austausch möglich).</t>
        </is>
      </c>
    </row>
    <row r="82">
      <c r="B82" s="47" t="inlineStr">
        <is>
          <t>Gimbel-Mobile</t>
        </is>
      </c>
      <c r="C82" s="39" t="inlineStr">
        <is>
          <t>DJI</t>
        </is>
      </c>
      <c r="D82" s="39" t="inlineStr">
        <is>
          <t>Osmo Pocket 3 - Mobile</t>
        </is>
      </c>
      <c r="E82" s="57" t="n"/>
      <c r="F82" s="57" t="inlineStr">
        <is>
          <t>6IFST4N3556GCC</t>
        </is>
      </c>
      <c r="G82" s="57" t="n"/>
      <c r="H82" s="81" t="n"/>
      <c r="I82" s="57" t="inlineStr">
        <is>
          <t>ja</t>
        </is>
      </c>
      <c r="J82" s="78" t="n">
        <v>46192</v>
      </c>
      <c r="K82" s="55" t="n">
        <v>45462</v>
      </c>
      <c r="L82" s="55" t="n">
        <v>45462</v>
      </c>
      <c r="M82" s="39" t="inlineStr">
        <is>
          <t>erledigt</t>
        </is>
      </c>
      <c r="N82" s="57" t="inlineStr">
        <is>
          <t>Für mobilen Einsatz DJI Care Refresh 2-Year Plan (Osmo Pocket 3), (4 x Austausch möglich).</t>
        </is>
      </c>
    </row>
    <row r="83">
      <c r="B83" s="64" t="inlineStr">
        <is>
          <t>Kamera Akku (Zubehör) groß</t>
        </is>
      </c>
      <c r="C83" s="65" t="inlineStr">
        <is>
          <t>DJI</t>
        </is>
      </c>
      <c r="D83" s="39" t="inlineStr">
        <is>
          <t>Osmo Pocket 3 - Büro</t>
        </is>
      </c>
      <c r="E83" s="71" t="n"/>
      <c r="F83" s="71" t="inlineStr">
        <is>
          <t>G-88547413</t>
        </is>
      </c>
      <c r="G83" s="71" t="n"/>
      <c r="H83" s="71" t="n"/>
      <c r="I83" s="71" t="inlineStr">
        <is>
          <t>?</t>
        </is>
      </c>
      <c r="J83" s="92" t="inlineStr">
        <is>
          <t>?</t>
        </is>
      </c>
      <c r="K83" s="70" t="n">
        <v>45463</v>
      </c>
      <c r="L83" s="70" t="n">
        <v>45463</v>
      </c>
      <c r="M83" s="65" t="inlineStr">
        <is>
          <t>erledigt</t>
        </is>
      </c>
      <c r="N83" s="71" t="inlineStr">
        <is>
          <t xml:space="preserve">Zusatzakku für DJI Osmo Poket. </t>
        </is>
      </c>
    </row>
    <row r="84">
      <c r="B84" s="64" t="inlineStr">
        <is>
          <t>Kamera Akku (Zubehör) groß</t>
        </is>
      </c>
      <c r="C84" s="65" t="inlineStr">
        <is>
          <t>DJI</t>
        </is>
      </c>
      <c r="D84" s="39" t="inlineStr">
        <is>
          <t>Osmo Pocket 3 - Büro</t>
        </is>
      </c>
      <c r="E84" s="71" t="n"/>
      <c r="F84" s="71" t="inlineStr">
        <is>
          <t>G-88547413</t>
        </is>
      </c>
      <c r="G84" s="71" t="n"/>
      <c r="H84" s="71" t="n"/>
      <c r="I84" s="71" t="inlineStr">
        <is>
          <t>?</t>
        </is>
      </c>
      <c r="J84" s="92" t="inlineStr">
        <is>
          <t>?</t>
        </is>
      </c>
      <c r="K84" s="70" t="n">
        <v>45463</v>
      </c>
      <c r="L84" s="70" t="n">
        <v>45463</v>
      </c>
      <c r="M84" s="65" t="inlineStr">
        <is>
          <t>erledigt</t>
        </is>
      </c>
      <c r="N84" s="71" t="inlineStr">
        <is>
          <t xml:space="preserve">Zusatzakku für DJI Osmo Poket. </t>
        </is>
      </c>
    </row>
    <row r="85">
      <c r="B85" s="64" t="inlineStr">
        <is>
          <t>Kamera Akku (Zubehör) klein</t>
        </is>
      </c>
      <c r="C85" s="65" t="inlineStr">
        <is>
          <t>DJI</t>
        </is>
      </c>
      <c r="D85" s="39" t="inlineStr">
        <is>
          <t>Osmo Pocket 3 - Büro</t>
        </is>
      </c>
      <c r="E85" s="71" t="n"/>
      <c r="F85" s="71" t="n"/>
      <c r="G85" s="71" t="n"/>
      <c r="H85" s="71" t="n"/>
      <c r="I85" s="71" t="inlineStr">
        <is>
          <t>?</t>
        </is>
      </c>
      <c r="J85" s="92" t="inlineStr">
        <is>
          <t>?</t>
        </is>
      </c>
      <c r="K85" s="70" t="n">
        <v>45463</v>
      </c>
      <c r="L85" s="70" t="n">
        <v>45463</v>
      </c>
      <c r="M85" s="65" t="inlineStr">
        <is>
          <t>erledigt</t>
        </is>
      </c>
      <c r="N85" s="71" t="inlineStr">
        <is>
          <t xml:space="preserve">Zusatzakku für DJI Osmo Poket. </t>
        </is>
      </c>
    </row>
    <row r="86">
      <c r="B86" s="64" t="inlineStr">
        <is>
          <t>Gimbal-Standfuß (Zubehör)</t>
        </is>
      </c>
      <c r="C86" s="65" t="inlineStr">
        <is>
          <t>DJI</t>
        </is>
      </c>
      <c r="D86" s="39" t="inlineStr">
        <is>
          <t>Osmo Pocket 3 - Büro</t>
        </is>
      </c>
      <c r="E86" s="71" t="n"/>
      <c r="F86" s="71" t="inlineStr">
        <is>
          <t>-</t>
        </is>
      </c>
      <c r="G86" s="71" t="inlineStr">
        <is>
          <t>-</t>
        </is>
      </c>
      <c r="H86" s="71" t="n"/>
      <c r="I86" s="71" t="inlineStr">
        <is>
          <t>-</t>
        </is>
      </c>
      <c r="J86" s="92" t="inlineStr">
        <is>
          <t>-</t>
        </is>
      </c>
      <c r="K86" s="70" t="n">
        <v>45463</v>
      </c>
      <c r="L86" s="70" t="n">
        <v>45463</v>
      </c>
      <c r="M86" s="65" t="inlineStr">
        <is>
          <t>erledigt</t>
        </is>
      </c>
      <c r="N86" s="71" t="inlineStr">
        <is>
          <t>Standfuß für das Gimbal</t>
        </is>
      </c>
    </row>
    <row r="87">
      <c r="B87" s="64" t="inlineStr">
        <is>
          <t>Hülle für Osmo Pocket 3 (Zubehör)</t>
        </is>
      </c>
      <c r="C87" s="65" t="inlineStr">
        <is>
          <t>DJI</t>
        </is>
      </c>
      <c r="D87" s="39" t="inlineStr">
        <is>
          <t>Osmo Pocket 3 - Büro</t>
        </is>
      </c>
      <c r="E87" s="71" t="n"/>
      <c r="F87" s="71" t="inlineStr">
        <is>
          <t>-</t>
        </is>
      </c>
      <c r="G87" s="71" t="inlineStr">
        <is>
          <t>-</t>
        </is>
      </c>
      <c r="H87" s="71" t="n"/>
      <c r="I87" s="71" t="inlineStr">
        <is>
          <t>-</t>
        </is>
      </c>
      <c r="J87" s="92" t="inlineStr">
        <is>
          <t>-</t>
        </is>
      </c>
      <c r="K87" s="70" t="n">
        <v>45463</v>
      </c>
      <c r="L87" s="70" t="n">
        <v>45463</v>
      </c>
      <c r="M87" s="65" t="inlineStr">
        <is>
          <t>erledigt</t>
        </is>
      </c>
      <c r="N87" s="71" t="inlineStr">
        <is>
          <t>Hülle für das Gimbal</t>
        </is>
      </c>
    </row>
    <row r="88">
      <c r="B88" s="64" t="inlineStr">
        <is>
          <t>DJI Mic 2 (Einzelmikrofon für Osmo Pocket 3)</t>
        </is>
      </c>
      <c r="C88" s="65" t="inlineStr">
        <is>
          <t>DJI</t>
        </is>
      </c>
      <c r="D88" s="65" t="inlineStr">
        <is>
          <t>DJI Mic 2</t>
        </is>
      </c>
      <c r="E88" s="57" t="inlineStr">
        <is>
          <t>WMC-M-03</t>
        </is>
      </c>
      <c r="F88" s="71" t="inlineStr">
        <is>
          <t>-</t>
        </is>
      </c>
      <c r="G88" s="71" t="inlineStr">
        <is>
          <t>-</t>
        </is>
      </c>
      <c r="H88" s="71" t="n"/>
      <c r="I88" s="71" t="inlineStr">
        <is>
          <t>-</t>
        </is>
      </c>
      <c r="J88" s="92" t="inlineStr">
        <is>
          <t>-</t>
        </is>
      </c>
      <c r="K88" s="70" t="n">
        <v>45463</v>
      </c>
      <c r="L88" s="70" t="n">
        <v>45463</v>
      </c>
      <c r="M88" s="65" t="inlineStr">
        <is>
          <t>erledigt</t>
        </is>
      </c>
      <c r="N88" s="71" t="inlineStr">
        <is>
          <t xml:space="preserve">Einzelmikrofon für das Osmo Poket. </t>
        </is>
      </c>
    </row>
    <row r="89">
      <c r="B89" s="47" t="inlineStr">
        <is>
          <t>DJI Mic 2 Windschutz (Zubehör)</t>
        </is>
      </c>
      <c r="C89" s="39" t="inlineStr">
        <is>
          <t>DJI</t>
        </is>
      </c>
      <c r="D89" s="39" t="inlineStr">
        <is>
          <t>DJI Mic 2</t>
        </is>
      </c>
      <c r="E89" s="57" t="n"/>
      <c r="F89" s="57" t="inlineStr">
        <is>
          <t>-</t>
        </is>
      </c>
      <c r="G89" s="57" t="inlineStr">
        <is>
          <t>-</t>
        </is>
      </c>
      <c r="H89" s="57" t="n"/>
      <c r="I89" s="57" t="inlineStr">
        <is>
          <t>-</t>
        </is>
      </c>
      <c r="J89" s="78" t="inlineStr">
        <is>
          <t>-</t>
        </is>
      </c>
      <c r="K89" s="70" t="n">
        <v>45463</v>
      </c>
      <c r="L89" s="70" t="n">
        <v>45463</v>
      </c>
      <c r="M89" s="65" t="inlineStr">
        <is>
          <t>erledigt</t>
        </is>
      </c>
      <c r="N89" s="57" t="n"/>
    </row>
    <row r="90">
      <c r="B90" s="64" t="inlineStr">
        <is>
          <t>DJI OSMO Pocket 3 Objektive 3er Set (Zubehör)</t>
        </is>
      </c>
      <c r="C90" s="65" t="inlineStr">
        <is>
          <t>DJI</t>
        </is>
      </c>
      <c r="D90" s="39" t="inlineStr">
        <is>
          <t>Osmo Pocket 3 - Büro</t>
        </is>
      </c>
      <c r="E90" s="71" t="n"/>
      <c r="F90" s="71" t="inlineStr">
        <is>
          <t>-</t>
        </is>
      </c>
      <c r="G90" s="71" t="inlineStr">
        <is>
          <t>-</t>
        </is>
      </c>
      <c r="H90" s="71" t="n"/>
      <c r="I90" s="71" t="inlineStr">
        <is>
          <t>-</t>
        </is>
      </c>
      <c r="J90" s="92" t="inlineStr">
        <is>
          <t>-</t>
        </is>
      </c>
      <c r="K90" s="70" t="n">
        <v>45463</v>
      </c>
      <c r="L90" s="70" t="n">
        <v>45463</v>
      </c>
      <c r="M90" s="65" t="inlineStr">
        <is>
          <t>erledigt</t>
        </is>
      </c>
      <c r="N90" s="71" t="inlineStr">
        <is>
          <t>Objektive für Osmo Pocket in eigener Hülle</t>
        </is>
      </c>
    </row>
    <row r="91">
      <c r="B91" s="64" t="inlineStr">
        <is>
          <t>DJI OSMO Pocket 3 Objektiv (Zubehör)</t>
        </is>
      </c>
      <c r="C91" s="65" t="inlineStr">
        <is>
          <t>DJI</t>
        </is>
      </c>
      <c r="D91" s="39" t="inlineStr">
        <is>
          <t>Osmo Pocket 3 - Büro</t>
        </is>
      </c>
      <c r="E91" s="71" t="n"/>
      <c r="F91" s="71" t="inlineStr">
        <is>
          <t>-</t>
        </is>
      </c>
      <c r="G91" s="71" t="inlineStr">
        <is>
          <t>-</t>
        </is>
      </c>
      <c r="H91" s="71" t="n"/>
      <c r="I91" s="71" t="inlineStr">
        <is>
          <t>-</t>
        </is>
      </c>
      <c r="J91" s="92" t="inlineStr">
        <is>
          <t>-</t>
        </is>
      </c>
      <c r="K91" s="70" t="n">
        <v>45463</v>
      </c>
      <c r="L91" s="70" t="n">
        <v>45463</v>
      </c>
      <c r="M91" s="65" t="inlineStr">
        <is>
          <t>erledigt</t>
        </is>
      </c>
      <c r="N91" s="71" t="inlineStr">
        <is>
          <t xml:space="preserve">Objektiv in der Tasche für das Osmo Pocket. </t>
        </is>
      </c>
    </row>
    <row r="92" ht="31.2" customHeight="1">
      <c r="B92" s="64" t="inlineStr">
        <is>
          <t>Kamera Zubehör</t>
        </is>
      </c>
      <c r="C92" s="65" t="inlineStr">
        <is>
          <t>Startrc</t>
        </is>
      </c>
      <c r="D92" s="69" t="inlineStr">
        <is>
          <t>Magnetic Suction Base Holder</t>
        </is>
      </c>
      <c r="E92" s="71" t="n"/>
      <c r="F92" s="71" t="inlineStr">
        <is>
          <t>-</t>
        </is>
      </c>
      <c r="G92" s="71" t="inlineStr">
        <is>
          <t>-</t>
        </is>
      </c>
      <c r="H92" s="71" t="n"/>
      <c r="I92" s="71" t="inlineStr">
        <is>
          <t>-</t>
        </is>
      </c>
      <c r="J92" s="92" t="inlineStr">
        <is>
          <t>-</t>
        </is>
      </c>
      <c r="K92" s="70" t="n">
        <v>45463</v>
      </c>
      <c r="L92" s="70" t="n">
        <v>45463</v>
      </c>
      <c r="M92" s="65" t="inlineStr">
        <is>
          <t>erledigt</t>
        </is>
      </c>
      <c r="N92" s="71" t="n"/>
    </row>
    <row r="93" ht="31.2" customHeight="1">
      <c r="B93" s="64" t="inlineStr">
        <is>
          <t>Kamera Zubehör</t>
        </is>
      </c>
      <c r="C93" s="65" t="inlineStr">
        <is>
          <t>BRDRC</t>
        </is>
      </c>
      <c r="D93" s="69" t="inlineStr">
        <is>
          <t>Waterproof Case for Pocket 3 Camera</t>
        </is>
      </c>
      <c r="E93" s="71" t="n"/>
      <c r="F93" s="71" t="inlineStr">
        <is>
          <t>-</t>
        </is>
      </c>
      <c r="G93" s="71" t="inlineStr">
        <is>
          <t>-</t>
        </is>
      </c>
      <c r="H93" s="71" t="n"/>
      <c r="I93" s="71" t="inlineStr">
        <is>
          <t>-</t>
        </is>
      </c>
      <c r="J93" s="92" t="inlineStr">
        <is>
          <t>-</t>
        </is>
      </c>
      <c r="K93" s="70" t="n">
        <v>45463</v>
      </c>
      <c r="L93" s="70" t="n">
        <v>45463</v>
      </c>
      <c r="M93" s="65" t="inlineStr">
        <is>
          <t>erledigt</t>
        </is>
      </c>
      <c r="N93" s="71" t="inlineStr">
        <is>
          <t xml:space="preserve">Wasserdichte Hülle für das Osmo Pocket 3 </t>
        </is>
      </c>
    </row>
    <row r="94">
      <c r="B94" s="64" t="inlineStr">
        <is>
          <t>Smartphone</t>
        </is>
      </c>
      <c r="C94" s="65" t="inlineStr">
        <is>
          <t>Apple</t>
        </is>
      </c>
      <c r="D94" s="65" t="inlineStr">
        <is>
          <t>iPhone 15 Pro Max</t>
        </is>
      </c>
      <c r="E94" s="71" t="inlineStr">
        <is>
          <t>-</t>
        </is>
      </c>
      <c r="F94" s="71" t="inlineStr">
        <is>
          <t>LAHKIJNS89</t>
        </is>
      </c>
      <c r="G94" s="71" t="inlineStr">
        <is>
          <t>?</t>
        </is>
      </c>
      <c r="H94" s="71" t="inlineStr">
        <is>
          <t>?</t>
        </is>
      </c>
      <c r="I94" s="71" t="inlineStr">
        <is>
          <t>ja</t>
        </is>
      </c>
      <c r="J94" s="92" t="n">
        <v>45918</v>
      </c>
      <c r="K94" s="70" t="n">
        <v>45187</v>
      </c>
      <c r="L94" s="70" t="n">
        <v>45187</v>
      </c>
      <c r="M94" s="65" t="inlineStr">
        <is>
          <t>erledigt</t>
        </is>
      </c>
      <c r="N94" s="71" t="inlineStr">
        <is>
          <t>Farbe: weiß</t>
        </is>
      </c>
    </row>
    <row r="95">
      <c r="B95" s="64" t="inlineStr">
        <is>
          <t>Smartphone</t>
        </is>
      </c>
      <c r="C95" s="65" t="inlineStr">
        <is>
          <t>Apple</t>
        </is>
      </c>
      <c r="D95" s="65" t="inlineStr">
        <is>
          <t>iPhone 15 Pro Max</t>
        </is>
      </c>
      <c r="E95" s="71" t="inlineStr">
        <is>
          <t>-</t>
        </is>
      </c>
      <c r="F95" s="71" t="inlineStr">
        <is>
          <t>AUCGXCP0BH</t>
        </is>
      </c>
      <c r="G95" s="71" t="inlineStr">
        <is>
          <t>?</t>
        </is>
      </c>
      <c r="H95" s="71" t="inlineStr">
        <is>
          <t>?</t>
        </is>
      </c>
      <c r="I95" s="71" t="inlineStr">
        <is>
          <t>ja</t>
        </is>
      </c>
      <c r="J95" s="92" t="n">
        <v>45921</v>
      </c>
      <c r="K95" s="70" t="n">
        <v>45190</v>
      </c>
      <c r="L95" s="70" t="n">
        <v>45190</v>
      </c>
      <c r="M95" s="65" t="inlineStr">
        <is>
          <t>erledigt</t>
        </is>
      </c>
      <c r="N95" s="71" t="inlineStr">
        <is>
          <t>Farbe: Sand</t>
        </is>
      </c>
    </row>
    <row r="96" ht="31.2" customHeight="1">
      <c r="B96" s="64" t="inlineStr">
        <is>
          <t>Konferenzsystem</t>
        </is>
      </c>
      <c r="C96" s="65" t="inlineStr">
        <is>
          <t>EMEET</t>
        </is>
      </c>
      <c r="D96" s="65" t="inlineStr">
        <is>
          <t>OfficeCore M220 Lite</t>
        </is>
      </c>
      <c r="E96" s="95" t="inlineStr">
        <is>
          <t>WMC-K-01-1 / 
WMC-K-01-2</t>
        </is>
      </c>
      <c r="F96" s="124" t="inlineStr">
        <is>
          <t>411342818182</t>
        </is>
      </c>
      <c r="G96" s="71" t="inlineStr">
        <is>
          <t>?</t>
        </is>
      </c>
      <c r="H96" s="71" t="inlineStr">
        <is>
          <t>?</t>
        </is>
      </c>
      <c r="I96" s="71" t="inlineStr">
        <is>
          <t>Ja</t>
        </is>
      </c>
      <c r="J96" s="92" t="n">
        <v>46205</v>
      </c>
      <c r="K96" s="92" t="n">
        <v>45475</v>
      </c>
      <c r="L96" s="92" t="n">
        <v>45475</v>
      </c>
      <c r="M96" s="65" t="inlineStr">
        <is>
          <t>erledigt</t>
        </is>
      </c>
      <c r="N96" s="95" t="inlineStr">
        <is>
          <t>Paket enthält zwei Konferenzlautsprecher, zwei Taschen, 2 USB Kabel, 2 Aux Kabel, Verbindungskabel untereinander</t>
        </is>
      </c>
    </row>
    <row r="97" ht="31.2" customHeight="1">
      <c r="B97" s="47" t="inlineStr">
        <is>
          <t>USB-Hub</t>
        </is>
      </c>
      <c r="C97" s="39" t="inlineStr">
        <is>
          <t>RSH Tech</t>
        </is>
      </c>
      <c r="D97" s="40" t="inlineStr">
        <is>
          <t>RSH-ST310 - USB-A &amp; USB-C to Ethernet Hub</t>
        </is>
      </c>
      <c r="E97" s="57" t="inlineStr">
        <is>
          <t>WMC-HB-01</t>
        </is>
      </c>
      <c r="F97" s="118" t="n"/>
      <c r="G97" s="57" t="n"/>
      <c r="H97" s="57" t="n"/>
      <c r="I97" s="57" t="inlineStr">
        <is>
          <t>Ja</t>
        </is>
      </c>
      <c r="J97" s="55" t="n">
        <v>45489</v>
      </c>
      <c r="K97" s="55" t="n">
        <v>45489</v>
      </c>
      <c r="L97" s="55" t="n">
        <v>45489</v>
      </c>
      <c r="M97" s="39" t="inlineStr">
        <is>
          <t>erledigt</t>
        </is>
      </c>
      <c r="N97" s="57" t="n"/>
    </row>
    <row r="98">
      <c r="B98" s="4" t="inlineStr">
        <is>
          <t>Tastatur</t>
        </is>
      </c>
      <c r="C98" s="4" t="inlineStr">
        <is>
          <t>Logitech</t>
        </is>
      </c>
      <c r="D98" s="4" t="inlineStr">
        <is>
          <t>MX Keys Mini</t>
        </is>
      </c>
      <c r="E98" s="4" t="n"/>
      <c r="F98" s="119" t="inlineStr">
        <is>
          <t>5370230092897</t>
        </is>
      </c>
      <c r="G98" s="4" t="n"/>
      <c r="H98" s="4" t="n"/>
      <c r="I98" s="4" t="inlineStr">
        <is>
          <t>Ja</t>
        </is>
      </c>
      <c r="J98" s="93" t="n">
        <v>46020</v>
      </c>
      <c r="K98" s="93" t="n">
        <v>45629</v>
      </c>
      <c r="L98" s="93" t="n">
        <v>45629</v>
      </c>
      <c r="M98" s="39" t="inlineStr">
        <is>
          <t>erledigt</t>
        </is>
      </c>
      <c r="N98" s="4" t="n"/>
    </row>
    <row r="99">
      <c r="B99" s="47" t="inlineStr">
        <is>
          <t>Headset</t>
        </is>
      </c>
      <c r="C99" s="39" t="inlineStr">
        <is>
          <t>Bose</t>
        </is>
      </c>
      <c r="D99" s="39" t="inlineStr">
        <is>
          <t>Quiet Comfort Ultra</t>
        </is>
      </c>
      <c r="E99" s="57" t="inlineStr">
        <is>
          <t>WMC-HS-005</t>
        </is>
      </c>
      <c r="F99" s="57" t="inlineStr">
        <is>
          <t>096844L60868743HR</t>
        </is>
      </c>
      <c r="G99" s="57" t="n"/>
      <c r="H99" s="57" t="n"/>
      <c r="I99" s="57" t="inlineStr">
        <is>
          <t>Ja</t>
        </is>
      </c>
      <c r="J99" s="78" t="n">
        <v>45982</v>
      </c>
      <c r="K99" s="55" t="n">
        <v>45617</v>
      </c>
      <c r="L99" s="55" t="n">
        <v>45617</v>
      </c>
      <c r="M99" s="39" t="inlineStr">
        <is>
          <t>erledigt</t>
        </is>
      </c>
      <c r="N99" s="57" t="n"/>
    </row>
    <row r="100">
      <c r="B100" s="47" t="inlineStr">
        <is>
          <t>Headset</t>
        </is>
      </c>
      <c r="C100" s="39" t="inlineStr">
        <is>
          <t>Bose</t>
        </is>
      </c>
      <c r="D100" s="39" t="inlineStr">
        <is>
          <t>Quiet Comfort Ultra</t>
        </is>
      </c>
      <c r="E100" s="57" t="inlineStr">
        <is>
          <t>WMC-HS-006</t>
        </is>
      </c>
      <c r="F100" s="57" t="inlineStr">
        <is>
          <t>023269X915496J4QG</t>
        </is>
      </c>
      <c r="G100" s="57" t="n"/>
      <c r="H100" s="57" t="n"/>
      <c r="I100" s="57" t="inlineStr">
        <is>
          <t>Ja</t>
        </is>
      </c>
      <c r="J100" s="78" t="n">
        <v>45982</v>
      </c>
      <c r="K100" s="55" t="n">
        <v>45617</v>
      </c>
      <c r="L100" s="55" t="n">
        <v>45617</v>
      </c>
      <c r="M100" s="39" t="inlineStr">
        <is>
          <t>erledigt</t>
        </is>
      </c>
      <c r="N100" s="57" t="n"/>
    </row>
    <row r="101">
      <c r="B101" s="4" t="inlineStr">
        <is>
          <t>Smartphone</t>
        </is>
      </c>
      <c r="C101" s="4" t="inlineStr">
        <is>
          <t>Apple</t>
        </is>
      </c>
      <c r="D101" s="4" t="inlineStr">
        <is>
          <t>iPhone 17 Pro</t>
        </is>
      </c>
      <c r="E101" s="4" t="n"/>
      <c r="F101" s="120" t="inlineStr">
        <is>
          <t>625449532488860</t>
        </is>
      </c>
      <c r="G101" s="4" t="n"/>
      <c r="H101" s="4" t="n"/>
      <c r="I101" s="4" t="inlineStr">
        <is>
          <t>Ja</t>
        </is>
      </c>
      <c r="J101" s="93" t="n"/>
      <c r="K101" s="94" t="n"/>
      <c r="L101" s="94" t="n"/>
      <c r="M101" s="39" t="inlineStr">
        <is>
          <t>erledigt</t>
        </is>
      </c>
      <c r="N101" s="4" t="inlineStr">
        <is>
          <t xml:space="preserve">Simon - 212559969551 </t>
        </is>
      </c>
    </row>
    <row r="102">
      <c r="B102" s="4" t="inlineStr">
        <is>
          <t>13in1 USB-C Multifunction Adapter</t>
        </is>
      </c>
      <c r="C102" s="4" t="inlineStr">
        <is>
          <t xml:space="preserve">UGREEN </t>
        </is>
      </c>
      <c r="D102" s="4" t="inlineStr">
        <is>
          <t>13in1</t>
        </is>
      </c>
      <c r="E102" s="57" t="inlineStr">
        <is>
          <t>WMC-HB-09</t>
        </is>
      </c>
      <c r="F102" s="121" t="inlineStr">
        <is>
          <t>KW083 40887</t>
        </is>
      </c>
      <c r="G102" s="81" t="n"/>
      <c r="H102" s="81" t="n"/>
      <c r="I102" s="4" t="inlineStr">
        <is>
          <t>Ja</t>
        </is>
      </c>
      <c r="J102" s="78" t="n"/>
      <c r="K102" s="122" t="n"/>
      <c r="L102" s="55" t="n"/>
      <c r="M102" s="39" t="n"/>
      <c r="N102" s="57" t="n"/>
    </row>
    <row r="103">
      <c r="B103" s="4" t="inlineStr">
        <is>
          <t>13in1 USB-C Multifunction Adapter</t>
        </is>
      </c>
      <c r="C103" s="4" t="inlineStr">
        <is>
          <t xml:space="preserve">UGREEN </t>
        </is>
      </c>
      <c r="D103" s="4" t="inlineStr">
        <is>
          <t>13in1</t>
        </is>
      </c>
      <c r="E103" s="57" t="inlineStr">
        <is>
          <t>WMC-HB-10</t>
        </is>
      </c>
      <c r="F103" s="121" t="inlineStr">
        <is>
          <t>KW083 40887</t>
        </is>
      </c>
      <c r="G103" s="123" t="n"/>
      <c r="H103" s="123" t="n"/>
      <c r="I103" s="4" t="inlineStr">
        <is>
          <t>Ja</t>
        </is>
      </c>
      <c r="J103" s="93" t="n"/>
      <c r="K103" s="94" t="n"/>
      <c r="L103" s="94" t="n"/>
      <c r="M103" s="4" t="n"/>
      <c r="N103" s="4" t="n"/>
    </row>
    <row r="104">
      <c r="B104" s="4" t="inlineStr">
        <is>
          <t>13in1 USB-C Multifunction Adapter</t>
        </is>
      </c>
      <c r="C104" s="4" t="inlineStr">
        <is>
          <t xml:space="preserve">UGREEN </t>
        </is>
      </c>
      <c r="D104" s="4" t="inlineStr">
        <is>
          <t>13in1</t>
        </is>
      </c>
      <c r="E104" s="57" t="inlineStr">
        <is>
          <t>WMC-HB-11</t>
        </is>
      </c>
      <c r="F104" s="121" t="inlineStr">
        <is>
          <t>KW083 40887</t>
        </is>
      </c>
      <c r="G104" s="81" t="n"/>
      <c r="H104" s="81" t="n"/>
      <c r="I104" s="4" t="inlineStr">
        <is>
          <t>Ja</t>
        </is>
      </c>
      <c r="J104" s="78" t="n"/>
      <c r="K104" s="122" t="n"/>
      <c r="L104" s="55" t="n"/>
      <c r="M104" s="39" t="n"/>
      <c r="N104" s="57" t="n"/>
    </row>
    <row r="105">
      <c r="B105" s="4" t="inlineStr">
        <is>
          <t>13in1 USB-C Multifunction Adapter</t>
        </is>
      </c>
      <c r="C105" s="4" t="inlineStr">
        <is>
          <t xml:space="preserve">UGREEN </t>
        </is>
      </c>
      <c r="D105" s="4" t="inlineStr">
        <is>
          <t>13in1</t>
        </is>
      </c>
      <c r="E105" s="57" t="inlineStr">
        <is>
          <t>WMC-HB-12</t>
        </is>
      </c>
      <c r="F105" s="121" t="inlineStr">
        <is>
          <t>KW083 40887</t>
        </is>
      </c>
      <c r="G105" s="81" t="n"/>
      <c r="H105" s="81" t="n"/>
      <c r="I105" s="4" t="inlineStr">
        <is>
          <t>Ja</t>
        </is>
      </c>
      <c r="J105" s="78" t="n"/>
      <c r="K105" s="122" t="n"/>
      <c r="L105" s="55" t="n"/>
      <c r="M105" s="39" t="n"/>
      <c r="N105" s="57" t="n"/>
    </row>
    <row r="106">
      <c r="B106" s="47" t="inlineStr">
        <is>
          <t>Maus + Tastatur</t>
        </is>
      </c>
      <c r="C106" s="39" t="inlineStr">
        <is>
          <t>Logitech</t>
        </is>
      </c>
      <c r="D106" s="39" t="inlineStr">
        <is>
          <t>MK120</t>
        </is>
      </c>
      <c r="E106" s="57" t="inlineStr">
        <is>
          <t>WMC-HW-2018</t>
        </is>
      </c>
      <c r="F106" s="57" t="inlineStr">
        <is>
          <t>2610FDA01MJ3</t>
        </is>
      </c>
      <c r="G106" s="81" t="n"/>
      <c r="H106" s="81" t="n"/>
      <c r="I106" s="4" t="inlineStr">
        <is>
          <t>Ja</t>
        </is>
      </c>
      <c r="J106" s="78" t="n"/>
      <c r="K106" s="122" t="n"/>
      <c r="L106" s="55" t="n"/>
      <c r="M106" s="39" t="n"/>
      <c r="N106" s="57" t="n"/>
    </row>
    <row r="107">
      <c r="B107" s="47" t="inlineStr">
        <is>
          <t>Maus + Tastatur</t>
        </is>
      </c>
      <c r="C107" s="39" t="inlineStr">
        <is>
          <t>Logitech</t>
        </is>
      </c>
      <c r="D107" s="39" t="inlineStr">
        <is>
          <t>MK120</t>
        </is>
      </c>
      <c r="E107" s="57" t="inlineStr">
        <is>
          <t>WMC-HW-2019</t>
        </is>
      </c>
      <c r="F107" s="57" t="inlineStr">
        <is>
          <t>2483PCL19XF7</t>
        </is>
      </c>
      <c r="G107" s="81" t="n"/>
      <c r="H107" s="81" t="n"/>
      <c r="I107" s="4" t="inlineStr">
        <is>
          <t>Ja</t>
        </is>
      </c>
      <c r="J107" s="78" t="n"/>
      <c r="K107" s="122" t="n"/>
      <c r="L107" s="55" t="n"/>
      <c r="M107" s="39" t="n"/>
      <c r="N107" s="57" t="n"/>
    </row>
    <row r="108">
      <c r="B108" s="47" t="inlineStr">
        <is>
          <t>Maus + Tastatur</t>
        </is>
      </c>
      <c r="C108" s="39" t="inlineStr">
        <is>
          <t>Logitech</t>
        </is>
      </c>
      <c r="D108" s="39" t="inlineStr">
        <is>
          <t>MK120</t>
        </is>
      </c>
      <c r="E108" s="57" t="inlineStr">
        <is>
          <t>WMC-HW-2020</t>
        </is>
      </c>
      <c r="F108" s="57" t="inlineStr">
        <is>
          <t>2956FVN19GU1</t>
        </is>
      </c>
      <c r="G108" s="81" t="n"/>
      <c r="H108" s="81" t="n"/>
      <c r="I108" s="4" t="inlineStr">
        <is>
          <t>Ja</t>
        </is>
      </c>
      <c r="J108" s="78" t="n"/>
      <c r="K108" s="122" t="n"/>
      <c r="L108" s="55" t="n"/>
      <c r="M108" s="39" t="n"/>
      <c r="N108" s="57" t="n"/>
    </row>
    <row r="109">
      <c r="B109" s="47" t="inlineStr">
        <is>
          <t>Maus + Tastatur</t>
        </is>
      </c>
      <c r="C109" s="39" t="inlineStr">
        <is>
          <t>Logitech</t>
        </is>
      </c>
      <c r="D109" s="39" t="inlineStr">
        <is>
          <t>MK120</t>
        </is>
      </c>
      <c r="E109" s="57" t="inlineStr">
        <is>
          <t>WMC-HW-2021</t>
        </is>
      </c>
      <c r="F109" s="57" t="inlineStr">
        <is>
          <t>3853OAO36TK0</t>
        </is>
      </c>
      <c r="G109" s="81" t="n"/>
      <c r="H109" s="81" t="n"/>
      <c r="I109" s="4" t="inlineStr">
        <is>
          <t>Ja</t>
        </is>
      </c>
      <c r="J109" s="78" t="n"/>
      <c r="K109" s="122" t="n"/>
      <c r="L109" s="55" t="n"/>
      <c r="M109" s="39" t="n"/>
      <c r="N109" s="57" t="n"/>
    </row>
    <row r="110">
      <c r="B110" s="47" t="inlineStr">
        <is>
          <t>USB-C Kabel</t>
        </is>
      </c>
      <c r="C110" s="39" t="inlineStr">
        <is>
          <t>Silkland</t>
        </is>
      </c>
      <c r="D110" s="39" t="inlineStr">
        <is>
          <t>USB 3.2 Gen2x2 Cable</t>
        </is>
      </c>
      <c r="E110" s="57" t="inlineStr">
        <is>
          <t>WMC-K-001</t>
        </is>
      </c>
      <c r="F110" s="121" t="inlineStr">
        <is>
          <t>308574519854</t>
        </is>
      </c>
      <c r="G110" s="57" t="n"/>
      <c r="H110" s="57" t="n"/>
      <c r="I110" s="57" t="n"/>
      <c r="J110" s="78" t="n"/>
      <c r="K110" s="122" t="n"/>
      <c r="L110" s="55" t="n"/>
      <c r="M110" s="39" t="n"/>
      <c r="N110" s="57" t="n"/>
    </row>
    <row r="111">
      <c r="B111" s="47" t="inlineStr">
        <is>
          <t>USB-C Kabel</t>
        </is>
      </c>
      <c r="C111" s="39" t="inlineStr">
        <is>
          <t>Silkland</t>
        </is>
      </c>
      <c r="D111" s="39" t="inlineStr">
        <is>
          <t>USB 3.2 Gen2x2 Cable</t>
        </is>
      </c>
      <c r="E111" s="57" t="inlineStr">
        <is>
          <t>WMC-K-002</t>
        </is>
      </c>
      <c r="F111" s="121" t="inlineStr">
        <is>
          <t>308574519854</t>
        </is>
      </c>
      <c r="G111" s="57" t="n"/>
      <c r="H111" s="57" t="n"/>
      <c r="I111" s="57" t="n"/>
      <c r="J111" s="78" t="n"/>
      <c r="K111" s="122" t="n"/>
      <c r="L111" s="55" t="n"/>
      <c r="M111" s="39" t="n"/>
      <c r="N111" s="57" t="n"/>
    </row>
    <row r="112">
      <c r="B112" s="47" t="inlineStr">
        <is>
          <t>USB-C Kabel</t>
        </is>
      </c>
      <c r="C112" s="39" t="inlineStr">
        <is>
          <t>Silkland</t>
        </is>
      </c>
      <c r="D112" s="39" t="inlineStr">
        <is>
          <t>USB 3.2 Gen2x2 Cable</t>
        </is>
      </c>
      <c r="E112" s="57" t="inlineStr">
        <is>
          <t>WMC-K-003</t>
        </is>
      </c>
      <c r="F112" s="121" t="inlineStr">
        <is>
          <t>308574519854</t>
        </is>
      </c>
      <c r="G112" s="57" t="n"/>
      <c r="H112" s="57" t="n"/>
      <c r="I112" s="57" t="n"/>
      <c r="J112" s="78" t="n"/>
      <c r="K112" s="122" t="n"/>
      <c r="L112" s="55" t="n"/>
      <c r="M112" s="39" t="n"/>
      <c r="N112" s="57" t="n"/>
    </row>
    <row r="113">
      <c r="B113" s="47" t="inlineStr">
        <is>
          <t>USB-C Kabel</t>
        </is>
      </c>
      <c r="C113" s="39" t="inlineStr">
        <is>
          <t>Silkland</t>
        </is>
      </c>
      <c r="D113" s="39" t="inlineStr">
        <is>
          <t>USB 3.2 Gen2x2 Cable</t>
        </is>
      </c>
      <c r="E113" s="57" t="inlineStr">
        <is>
          <t>WMC-K-004</t>
        </is>
      </c>
      <c r="F113" s="121" t="inlineStr">
        <is>
          <t>308574519854</t>
        </is>
      </c>
      <c r="G113" s="57" t="n"/>
      <c r="H113" s="57" t="n"/>
      <c r="I113" s="57" t="n"/>
      <c r="J113" s="78" t="n"/>
      <c r="K113" s="122" t="n"/>
      <c r="L113" s="55" t="n"/>
      <c r="M113" s="39" t="n"/>
      <c r="N113" s="57" t="n"/>
    </row>
    <row r="114">
      <c r="B114" s="47" t="inlineStr">
        <is>
          <t>USB-C Kabel</t>
        </is>
      </c>
      <c r="C114" s="39" t="inlineStr">
        <is>
          <t>Silkland</t>
        </is>
      </c>
      <c r="D114" s="39" t="inlineStr">
        <is>
          <t>USB 3.2 Gen2x2 Cable</t>
        </is>
      </c>
      <c r="E114" s="57" t="inlineStr">
        <is>
          <t>WMC-K-005</t>
        </is>
      </c>
      <c r="F114" s="121" t="inlineStr">
        <is>
          <t>308574519854</t>
        </is>
      </c>
      <c r="G114" s="57" t="n"/>
      <c r="H114" s="57" t="n"/>
      <c r="I114" s="57" t="n"/>
      <c r="J114" s="78" t="n"/>
      <c r="K114" s="122" t="n"/>
      <c r="L114" s="55" t="n"/>
      <c r="M114" s="39" t="n"/>
      <c r="N114" s="57" t="n"/>
    </row>
    <row r="115">
      <c r="B115" s="47" t="inlineStr">
        <is>
          <t>USB-C Kabel</t>
        </is>
      </c>
      <c r="C115" s="39" t="inlineStr">
        <is>
          <t>Silkland</t>
        </is>
      </c>
      <c r="D115" s="39" t="inlineStr">
        <is>
          <t>USB 3.2 Gen2x2 Cable</t>
        </is>
      </c>
      <c r="E115" s="57" t="inlineStr">
        <is>
          <t>WMC-K-006</t>
        </is>
      </c>
      <c r="F115" s="121" t="inlineStr">
        <is>
          <t>308574519854</t>
        </is>
      </c>
      <c r="G115" s="57" t="n"/>
      <c r="H115" s="57" t="n"/>
      <c r="I115" s="57" t="n"/>
      <c r="J115" s="78" t="n"/>
      <c r="K115" s="122" t="n"/>
      <c r="L115" s="55" t="n"/>
      <c r="M115" s="39" t="n"/>
      <c r="N115" s="57" t="n"/>
    </row>
    <row r="116">
      <c r="B116" s="47" t="inlineStr">
        <is>
          <t>USB-C Kabel</t>
        </is>
      </c>
      <c r="C116" s="39" t="inlineStr">
        <is>
          <t>Silkland</t>
        </is>
      </c>
      <c r="D116" s="39" t="inlineStr">
        <is>
          <t>USB 3.2 Gen2x2 Cable</t>
        </is>
      </c>
      <c r="E116" s="57" t="inlineStr">
        <is>
          <t>WMC-K-007</t>
        </is>
      </c>
      <c r="F116" s="121" t="inlineStr">
        <is>
          <t>308574519854</t>
        </is>
      </c>
      <c r="G116" s="57" t="n"/>
      <c r="H116" s="57" t="n"/>
      <c r="I116" s="57" t="n"/>
      <c r="J116" s="78" t="n"/>
      <c r="K116" s="122" t="n"/>
      <c r="L116" s="55" t="n"/>
      <c r="M116" s="39" t="n"/>
      <c r="N116" s="57" t="n"/>
    </row>
    <row r="117">
      <c r="B117" s="47" t="inlineStr">
        <is>
          <t>USB-C Kabel</t>
        </is>
      </c>
      <c r="C117" s="39" t="inlineStr">
        <is>
          <t>Silkland</t>
        </is>
      </c>
      <c r="D117" s="39" t="inlineStr">
        <is>
          <t>USB 3.2 Gen2x2 Cable</t>
        </is>
      </c>
      <c r="E117" s="57" t="inlineStr">
        <is>
          <t>WMC-K-008</t>
        </is>
      </c>
      <c r="F117" s="121" t="inlineStr">
        <is>
          <t>308574519854</t>
        </is>
      </c>
      <c r="G117" s="57" t="n"/>
      <c r="H117" s="57" t="n"/>
      <c r="I117" s="57" t="n"/>
      <c r="J117" s="78" t="n"/>
      <c r="K117" s="122" t="n"/>
      <c r="L117" s="55" t="n"/>
      <c r="M117" s="39" t="n"/>
      <c r="N117" s="57" t="n"/>
    </row>
    <row r="118">
      <c r="B118" s="47" t="inlineStr">
        <is>
          <t>USB-C Kabel</t>
        </is>
      </c>
      <c r="C118" s="39" t="inlineStr">
        <is>
          <t>Silkland</t>
        </is>
      </c>
      <c r="D118" s="39" t="inlineStr">
        <is>
          <t>USB 3.2 Gen2x2 Cable</t>
        </is>
      </c>
      <c r="E118" s="57" t="inlineStr">
        <is>
          <t>WMC-K-009</t>
        </is>
      </c>
      <c r="F118" s="121" t="inlineStr">
        <is>
          <t>308574519854</t>
        </is>
      </c>
      <c r="G118" s="57" t="n"/>
      <c r="H118" s="57" t="n"/>
      <c r="I118" s="57" t="n"/>
      <c r="J118" s="78" t="n"/>
      <c r="K118" s="122" t="n"/>
      <c r="L118" s="55" t="n"/>
      <c r="M118" s="39" t="n"/>
      <c r="N118" s="57" t="n"/>
    </row>
    <row r="119">
      <c r="B119" s="47" t="inlineStr">
        <is>
          <t>USB-C Kabel</t>
        </is>
      </c>
      <c r="C119" s="39" t="inlineStr">
        <is>
          <t>Silkland</t>
        </is>
      </c>
      <c r="D119" s="39" t="inlineStr">
        <is>
          <t>USB 3.2 Gen2x2 Cable</t>
        </is>
      </c>
      <c r="E119" s="57" t="inlineStr">
        <is>
          <t>WMC-K-010</t>
        </is>
      </c>
      <c r="F119" s="121" t="inlineStr">
        <is>
          <t>308574519854</t>
        </is>
      </c>
      <c r="G119" s="57" t="n"/>
      <c r="H119" s="57" t="n"/>
      <c r="I119" s="57" t="n"/>
      <c r="J119" s="78" t="n"/>
      <c r="K119" s="122" t="n"/>
      <c r="L119" s="55" t="n"/>
      <c r="M119" s="39" t="n"/>
      <c r="N119" s="57" t="n"/>
    </row>
    <row r="120">
      <c r="B120" s="47" t="inlineStr">
        <is>
          <t>USB-C Kabel</t>
        </is>
      </c>
      <c r="C120" s="39" t="inlineStr">
        <is>
          <t>Silkland</t>
        </is>
      </c>
      <c r="D120" s="39" t="inlineStr">
        <is>
          <t>USB 3.2 Gen2x2 Cable</t>
        </is>
      </c>
      <c r="E120" s="57" t="inlineStr">
        <is>
          <t>WMC-K-011</t>
        </is>
      </c>
      <c r="F120" s="121" t="inlineStr">
        <is>
          <t>308574519854</t>
        </is>
      </c>
      <c r="G120" s="57" t="n"/>
      <c r="H120" s="57" t="n"/>
      <c r="I120" s="57" t="n"/>
      <c r="J120" s="78" t="n"/>
      <c r="K120" s="122" t="n"/>
      <c r="L120" s="55" t="n"/>
      <c r="M120" s="39" t="n"/>
      <c r="N120" s="57" t="n"/>
    </row>
    <row r="121">
      <c r="B121" s="47" t="inlineStr">
        <is>
          <t>USB-C Kabel</t>
        </is>
      </c>
      <c r="C121" s="39" t="inlineStr">
        <is>
          <t>Silkland</t>
        </is>
      </c>
      <c r="D121" s="39" t="inlineStr">
        <is>
          <t>USB 3.2 Gen2x2 Cable</t>
        </is>
      </c>
      <c r="E121" s="57" t="inlineStr">
        <is>
          <t>WMC-K-012</t>
        </is>
      </c>
      <c r="F121" s="121" t="inlineStr">
        <is>
          <t>308574519854</t>
        </is>
      </c>
      <c r="G121" s="57" t="n"/>
      <c r="H121" s="57" t="n"/>
      <c r="I121" s="57" t="n"/>
      <c r="J121" s="78" t="n"/>
      <c r="K121" s="122" t="n"/>
      <c r="L121" s="55" t="n"/>
      <c r="M121" s="39" t="n"/>
      <c r="N121" s="57" t="n"/>
    </row>
    <row r="122">
      <c r="B122" s="47" t="inlineStr">
        <is>
          <t>USB-C Kabel</t>
        </is>
      </c>
      <c r="C122" s="39" t="inlineStr">
        <is>
          <t>Silkland</t>
        </is>
      </c>
      <c r="D122" s="39" t="inlineStr">
        <is>
          <t>USB 3.2 Gen2x2 Cable</t>
        </is>
      </c>
      <c r="E122" s="57" t="inlineStr">
        <is>
          <t>WMC-K-013</t>
        </is>
      </c>
      <c r="F122" s="121" t="inlineStr">
        <is>
          <t>308574519854</t>
        </is>
      </c>
      <c r="G122" s="57" t="n"/>
      <c r="H122" s="57" t="n"/>
      <c r="I122" s="57" t="n"/>
      <c r="J122" s="78" t="n"/>
      <c r="K122" s="122" t="n"/>
      <c r="L122" s="55" t="n"/>
      <c r="M122" s="39" t="n"/>
      <c r="N122" s="57" t="n"/>
    </row>
    <row r="123">
      <c r="B123" s="47" t="inlineStr">
        <is>
          <t>USB-C Kabel</t>
        </is>
      </c>
      <c r="C123" s="39" t="inlineStr">
        <is>
          <t>Silkland</t>
        </is>
      </c>
      <c r="D123" s="39" t="inlineStr">
        <is>
          <t>USB 3.2 Gen2x2 Cable</t>
        </is>
      </c>
      <c r="E123" s="57" t="inlineStr">
        <is>
          <t>WMC-K-014</t>
        </is>
      </c>
      <c r="F123" s="121" t="inlineStr">
        <is>
          <t>308574519854</t>
        </is>
      </c>
      <c r="G123" s="57" t="n"/>
      <c r="H123" s="57" t="n"/>
      <c r="I123" s="57" t="n"/>
      <c r="J123" s="78" t="n"/>
      <c r="K123" s="122" t="n"/>
      <c r="L123" s="55" t="n"/>
      <c r="M123" s="39" t="n"/>
      <c r="N123" s="57" t="n"/>
    </row>
    <row r="124">
      <c r="B124" s="47" t="inlineStr">
        <is>
          <t>Webcam</t>
        </is>
      </c>
      <c r="C124" s="39" t="inlineStr">
        <is>
          <t>Logitech</t>
        </is>
      </c>
      <c r="D124" s="39" t="inlineStr">
        <is>
          <t>Brio Ultra HD Webcam</t>
        </is>
      </c>
      <c r="E124" s="57" t="inlineStr">
        <is>
          <t>WMC-WC-008</t>
        </is>
      </c>
      <c r="F124" s="57" t="n"/>
      <c r="G124" s="57" t="inlineStr">
        <is>
          <t>Office Partner via Mediamarkt</t>
        </is>
      </c>
      <c r="H124" s="57" t="inlineStr">
        <is>
          <t>25879238</t>
        </is>
      </c>
      <c r="I124" s="57" t="inlineStr">
        <is>
          <t>Ja</t>
        </is>
      </c>
      <c r="J124" s="78" t="n">
        <v>46920</v>
      </c>
      <c r="K124" s="78" t="n">
        <v>46193</v>
      </c>
      <c r="L124" s="78" t="n">
        <v>46920</v>
      </c>
      <c r="M124" s="39" t="n"/>
      <c r="N124" s="57" t="n"/>
    </row>
    <row r="125">
      <c r="B125" s="47" t="inlineStr">
        <is>
          <t>Mauspad</t>
        </is>
      </c>
      <c r="C125" s="39" t="inlineStr">
        <is>
          <t>Logitech</t>
        </is>
      </c>
      <c r="D125" s="39" t="inlineStr">
        <is>
          <t>Desk Mat</t>
        </is>
      </c>
      <c r="E125" s="57" t="inlineStr">
        <is>
          <t>-</t>
        </is>
      </c>
      <c r="F125" s="57" t="n"/>
      <c r="G125" s="57" t="inlineStr">
        <is>
          <t>Media Markt</t>
        </is>
      </c>
      <c r="H125" s="57" t="inlineStr">
        <is>
          <t>759108503</t>
        </is>
      </c>
      <c r="I125" s="57" t="inlineStr">
        <is>
          <t>Ja</t>
        </is>
      </c>
      <c r="J125" s="78" t="n">
        <v>46920</v>
      </c>
      <c r="K125" s="78" t="n">
        <v>46193</v>
      </c>
      <c r="L125" s="78" t="n">
        <v>46920</v>
      </c>
      <c r="M125" s="39" t="n"/>
      <c r="N125" s="57" t="n"/>
    </row>
    <row r="126">
      <c r="B126" s="47" t="inlineStr">
        <is>
          <t>Maus + Tastatur</t>
        </is>
      </c>
      <c r="C126" s="39" t="inlineStr">
        <is>
          <t>Logitech</t>
        </is>
      </c>
      <c r="D126" s="39" t="inlineStr">
        <is>
          <t>MX KEYS S Combo</t>
        </is>
      </c>
      <c r="E126" s="57" t="inlineStr">
        <is>
          <t>WMC-HW-2022</t>
        </is>
      </c>
      <c r="F126" s="57" t="inlineStr">
        <is>
          <t>1862RQV8K7H4</t>
        </is>
      </c>
      <c r="G126" s="57" t="inlineStr">
        <is>
          <t>Media Markt</t>
        </is>
      </c>
      <c r="H126" s="57" t="inlineStr">
        <is>
          <t>759108503</t>
        </is>
      </c>
      <c r="I126" s="57" t="inlineStr">
        <is>
          <t>Ja</t>
        </is>
      </c>
      <c r="J126" s="78" t="n">
        <v>46920</v>
      </c>
      <c r="K126" s="78" t="n">
        <v>46193</v>
      </c>
      <c r="L126" s="78" t="n">
        <v>46920</v>
      </c>
      <c r="M126" s="39" t="n"/>
      <c r="N126" s="57" t="n"/>
    </row>
    <row r="127">
      <c r="B127" s="47" t="n"/>
      <c r="C127" s="39" t="n"/>
      <c r="D127" s="39" t="n"/>
      <c r="E127" s="57" t="n"/>
      <c r="F127" s="57" t="n"/>
      <c r="G127" s="57" t="n"/>
      <c r="H127" s="57" t="n"/>
      <c r="I127" s="57" t="n"/>
      <c r="J127" s="78" t="n"/>
      <c r="K127" s="122" t="n"/>
      <c r="L127" s="55" t="n"/>
      <c r="M127" s="39" t="n"/>
      <c r="N127" s="57" t="n"/>
    </row>
    <row r="128">
      <c r="B128" s="47" t="n"/>
      <c r="C128" s="39" t="n"/>
      <c r="D128" s="39" t="n"/>
      <c r="E128" s="57" t="n"/>
      <c r="F128" s="57" t="n"/>
      <c r="G128" s="57" t="n"/>
      <c r="H128" s="57" t="n"/>
      <c r="I128" s="57" t="n"/>
      <c r="J128" s="78" t="n"/>
      <c r="K128" s="122" t="n"/>
      <c r="L128" s="55" t="n"/>
      <c r="M128" s="39" t="n"/>
      <c r="N128" s="57" t="n"/>
    </row>
    <row r="129"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94" t="n"/>
      <c r="L129" s="8" t="n"/>
      <c r="M129" s="4" t="n"/>
      <c r="N129" s="4" t="n"/>
    </row>
  </sheetData>
  <dataValidations disablePrompts="1" count="1">
    <dataValidation sqref="M4:M14 M16:M129 N14" showDropDown="0" showInputMessage="1" showErrorMessage="1" allowBlank="1" type="list">
      <formula1>"offen, in Arbeit, erledigt"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J14" sqref="J14"/>
    </sheetView>
  </sheetViews>
  <sheetFormatPr baseColWidth="10" defaultColWidth="11" defaultRowHeight="15.6"/>
  <cols>
    <col width="13" bestFit="1" customWidth="1" min="2" max="2"/>
    <col width="10.69921875" bestFit="1" customWidth="1" min="3" max="3"/>
    <col width="16" bestFit="1" customWidth="1" min="4" max="4"/>
    <col width="12.796875" bestFit="1" customWidth="1" min="5" max="5"/>
    <col width="14" bestFit="1" customWidth="1" min="6" max="6"/>
    <col width="17.5" customWidth="1" min="7" max="7"/>
    <col width="34.5" customWidth="1" min="8" max="8"/>
    <col width="28" bestFit="1" customWidth="1" min="12" max="12"/>
    <col width="14" bestFit="1" customWidth="1" min="13" max="13"/>
    <col width="23.69921875" customWidth="1" min="14" max="14"/>
  </cols>
  <sheetData>
    <row r="1" ht="28.8" customHeight="1">
      <c r="A1" s="7" t="inlineStr">
        <is>
          <t>Raumliste-Hardware</t>
        </is>
      </c>
      <c r="E1" s="88" t="inlineStr">
        <is>
          <t xml:space="preserve">Zu Aktualisieren! </t>
        </is>
      </c>
    </row>
    <row r="2" ht="21" customHeight="1">
      <c r="A2" t="inlineStr">
        <is>
          <t>letzte Änderung:</t>
        </is>
      </c>
      <c r="C2" s="9">
        <f>Inventar!E1</f>
        <v/>
      </c>
      <c r="E2" s="87" t="n"/>
    </row>
    <row r="3" ht="16.2" customHeight="1" thickBot="1"/>
    <row r="4" ht="37.05" customHeight="1" thickBot="1">
      <c r="B4" s="16" t="inlineStr">
        <is>
          <t>Arbeitsplatz</t>
        </is>
      </c>
      <c r="C4" s="16" t="inlineStr">
        <is>
          <t>Hersteller</t>
        </is>
      </c>
      <c r="D4" s="16" t="inlineStr">
        <is>
          <t>Typ</t>
        </is>
      </c>
      <c r="E4" s="16" t="inlineStr">
        <is>
          <t>Model</t>
        </is>
      </c>
      <c r="F4" s="16" t="inlineStr">
        <is>
          <t>WMC-ID</t>
        </is>
      </c>
      <c r="G4" s="17" t="inlineStr">
        <is>
          <t>Nutzer</t>
        </is>
      </c>
      <c r="H4" s="17" t="inlineStr">
        <is>
          <t>Kommentar</t>
        </is>
      </c>
      <c r="L4" s="16" t="inlineStr">
        <is>
          <t>Nummernkreis für Hardware</t>
        </is>
      </c>
      <c r="M4" s="154" t="n"/>
    </row>
    <row r="5" ht="16.05" customHeight="1" thickBot="1">
      <c r="B5" s="145" t="inlineStr">
        <is>
          <t>WMC-WP-01</t>
        </is>
      </c>
      <c r="C5" s="10" t="inlineStr">
        <is>
          <t xml:space="preserve">Samsung </t>
        </is>
      </c>
      <c r="D5" s="10" t="inlineStr">
        <is>
          <t>Monitor</t>
        </is>
      </c>
      <c r="E5" s="10" t="inlineStr">
        <is>
          <t>U28R554UQU</t>
        </is>
      </c>
      <c r="F5" s="10" t="inlineStr">
        <is>
          <t>WMC-HW-1001</t>
        </is>
      </c>
      <c r="G5" s="155" t="inlineStr">
        <is>
          <t>Jonas Albrecht</t>
        </is>
      </c>
      <c r="H5" s="11" t="n"/>
      <c r="L5" s="156" t="n"/>
      <c r="M5" s="157" t="n"/>
    </row>
    <row r="6">
      <c r="B6" s="158" t="n"/>
      <c r="C6" s="4" t="inlineStr">
        <is>
          <t xml:space="preserve">Samsung </t>
        </is>
      </c>
      <c r="D6" s="4" t="inlineStr">
        <is>
          <t>Monitor</t>
        </is>
      </c>
      <c r="E6" s="4" t="inlineStr">
        <is>
          <t>U28R554UQU</t>
        </is>
      </c>
      <c r="F6" s="4" t="inlineStr">
        <is>
          <t>WMC-HW-1002</t>
        </is>
      </c>
      <c r="G6" s="86" t="n"/>
      <c r="H6" s="12" t="n"/>
      <c r="L6" s="19" t="inlineStr">
        <is>
          <t>Monitor</t>
        </is>
      </c>
      <c r="M6" s="20" t="inlineStr">
        <is>
          <t>WMC-HW-1***</t>
        </is>
      </c>
    </row>
    <row r="7">
      <c r="B7" s="158" t="n"/>
      <c r="C7" s="4" t="inlineStr">
        <is>
          <t>Logitech</t>
        </is>
      </c>
      <c r="D7" s="4" t="inlineStr">
        <is>
          <t xml:space="preserve">Maus </t>
        </is>
      </c>
      <c r="E7" s="4" t="inlineStr">
        <is>
          <t>M185</t>
        </is>
      </c>
      <c r="F7" s="4" t="inlineStr">
        <is>
          <t>WMC-HW-2001</t>
        </is>
      </c>
      <c r="G7" s="86" t="n"/>
      <c r="H7" s="12" t="inlineStr">
        <is>
          <t xml:space="preserve">Zweite Maus wird benötigt. </t>
        </is>
      </c>
      <c r="L7" s="21" t="inlineStr">
        <is>
          <t>Maus</t>
        </is>
      </c>
      <c r="M7" s="12" t="inlineStr">
        <is>
          <t>WMC-HW-2***</t>
        </is>
      </c>
    </row>
    <row r="8">
      <c r="B8" s="158" t="n"/>
      <c r="C8" s="4" t="inlineStr">
        <is>
          <t>Logitech</t>
        </is>
      </c>
      <c r="D8" s="4" t="inlineStr">
        <is>
          <t>Tastatur</t>
        </is>
      </c>
      <c r="E8" s="4" t="inlineStr">
        <is>
          <t>K270</t>
        </is>
      </c>
      <c r="F8" s="4" t="inlineStr">
        <is>
          <t>WMC-HW-3001</t>
        </is>
      </c>
      <c r="G8" s="86" t="n"/>
      <c r="H8" s="12" t="inlineStr">
        <is>
          <t xml:space="preserve">Ablage Server Raum </t>
        </is>
      </c>
      <c r="L8" s="21" t="inlineStr">
        <is>
          <t>Tastatur</t>
        </is>
      </c>
      <c r="M8" s="12" t="inlineStr">
        <is>
          <t>WMC-HW-3***</t>
        </is>
      </c>
    </row>
    <row r="9">
      <c r="B9" s="158" t="n"/>
      <c r="C9" s="4" t="inlineStr">
        <is>
          <t>Dell</t>
        </is>
      </c>
      <c r="D9" s="4" t="inlineStr">
        <is>
          <t>Docking Station</t>
        </is>
      </c>
      <c r="E9" s="4" t="inlineStr">
        <is>
          <t>Display Link</t>
        </is>
      </c>
      <c r="F9" s="4" t="inlineStr">
        <is>
          <t>WMC-HW-4001</t>
        </is>
      </c>
      <c r="G9" s="86" t="n"/>
      <c r="H9" s="12" t="n"/>
      <c r="L9" s="21" t="inlineStr">
        <is>
          <t>Docking Station</t>
        </is>
      </c>
      <c r="M9" s="12" t="inlineStr">
        <is>
          <t>WMC-HW-4***</t>
        </is>
      </c>
    </row>
    <row r="10">
      <c r="B10" s="158" t="n"/>
      <c r="C10" s="4" t="inlineStr">
        <is>
          <t>Kensington</t>
        </is>
      </c>
      <c r="D10" s="4" t="inlineStr">
        <is>
          <t>Notebook Ständer</t>
        </is>
      </c>
      <c r="E10" s="4" t="inlineStr">
        <is>
          <t>K60112</t>
        </is>
      </c>
      <c r="F10" s="4" t="inlineStr">
        <is>
          <t>WMC-HW-5001</t>
        </is>
      </c>
      <c r="G10" s="86" t="n"/>
      <c r="H10" s="12" t="n"/>
      <c r="L10" s="21" t="inlineStr">
        <is>
          <t>Notebook Ständer</t>
        </is>
      </c>
      <c r="M10" s="12" t="inlineStr">
        <is>
          <t>WMC-HW-5***</t>
        </is>
      </c>
    </row>
    <row r="11" ht="16.2" customHeight="1" thickBot="1">
      <c r="B11" s="19" t="n"/>
      <c r="C11" s="13" t="n"/>
      <c r="D11" s="13" t="inlineStr">
        <is>
          <t>Headset</t>
        </is>
      </c>
      <c r="E11" s="13" t="n"/>
      <c r="F11" s="13" t="inlineStr">
        <is>
          <t>WMC-HW-6001</t>
        </is>
      </c>
      <c r="G11" s="159" t="n"/>
      <c r="H11" s="14" t="n"/>
      <c r="L11" s="22" t="inlineStr">
        <is>
          <t>Headset</t>
        </is>
      </c>
      <c r="M11" s="14" t="inlineStr">
        <is>
          <t>WMC-HW-6***</t>
        </is>
      </c>
    </row>
    <row r="12" ht="16.2" customHeight="1" thickBot="1">
      <c r="B12" s="160" t="n"/>
      <c r="H12" s="90" t="n"/>
    </row>
    <row r="13">
      <c r="B13" s="145" t="inlineStr">
        <is>
          <t>WMC-WP-02</t>
        </is>
      </c>
      <c r="C13" s="10" t="inlineStr">
        <is>
          <t xml:space="preserve">Samsung </t>
        </is>
      </c>
      <c r="D13" s="10" t="inlineStr">
        <is>
          <t>Monitor</t>
        </is>
      </c>
      <c r="E13" s="10" t="inlineStr">
        <is>
          <t>U28R554UQU</t>
        </is>
      </c>
      <c r="F13" s="10" t="inlineStr">
        <is>
          <t>WMC-HW-1003</t>
        </is>
      </c>
      <c r="G13" s="161" t="inlineStr">
        <is>
          <t>NA</t>
        </is>
      </c>
      <c r="H13" s="11" t="n"/>
    </row>
    <row r="14" ht="16.2" customHeight="1" thickBot="1">
      <c r="B14" s="158" t="n"/>
      <c r="C14" s="4" t="inlineStr">
        <is>
          <t xml:space="preserve">Samsung </t>
        </is>
      </c>
      <c r="D14" s="4" t="inlineStr">
        <is>
          <t>Monitor</t>
        </is>
      </c>
      <c r="E14" s="4" t="inlineStr">
        <is>
          <t>U28R554UQU</t>
        </is>
      </c>
      <c r="F14" s="4" t="inlineStr">
        <is>
          <t>WMC-HW-1004</t>
        </is>
      </c>
      <c r="G14" s="86" t="n"/>
      <c r="H14" s="12" t="n"/>
    </row>
    <row r="15" ht="18" customHeight="1">
      <c r="B15" s="158" t="n"/>
      <c r="C15" s="4" t="inlineStr">
        <is>
          <t>Logitech</t>
        </is>
      </c>
      <c r="D15" s="4" t="inlineStr">
        <is>
          <t xml:space="preserve">Maus </t>
        </is>
      </c>
      <c r="E15" s="4" t="inlineStr">
        <is>
          <t>M185</t>
        </is>
      </c>
      <c r="F15" s="4" t="inlineStr">
        <is>
          <t>WMC-HW-2002</t>
        </is>
      </c>
      <c r="G15" s="86" t="n"/>
      <c r="H15" s="12" t="n"/>
      <c r="L15" s="27" t="inlineStr">
        <is>
          <t>Benötigte Hardware</t>
        </is>
      </c>
      <c r="M15" s="139" t="inlineStr">
        <is>
          <t>Anzahl</t>
        </is>
      </c>
      <c r="N15" s="139" t="inlineStr">
        <is>
          <t>Kommentar</t>
        </is>
      </c>
    </row>
    <row r="16">
      <c r="B16" s="158" t="n"/>
      <c r="C16" s="4" t="inlineStr">
        <is>
          <t>Logitech</t>
        </is>
      </c>
      <c r="D16" s="4" t="inlineStr">
        <is>
          <t>Tastatur</t>
        </is>
      </c>
      <c r="E16" s="4" t="inlineStr">
        <is>
          <t>K270</t>
        </is>
      </c>
      <c r="F16" s="4" t="inlineStr">
        <is>
          <t>WMC-HW-3002</t>
        </is>
      </c>
      <c r="G16" s="86" t="n"/>
      <c r="H16" s="12" t="n"/>
      <c r="L16" s="21" t="inlineStr">
        <is>
          <t>Dockingstation DELL Display Link</t>
        </is>
      </c>
      <c r="M16" s="12" t="n">
        <v>1</v>
      </c>
      <c r="N16" s="12" t="n"/>
    </row>
    <row r="17">
      <c r="B17" s="158" t="n"/>
      <c r="C17" s="4" t="inlineStr">
        <is>
          <t>Dell</t>
        </is>
      </c>
      <c r="D17" s="4" t="inlineStr">
        <is>
          <t>Docking Station</t>
        </is>
      </c>
      <c r="E17" s="4" t="inlineStr">
        <is>
          <t>Display Link</t>
        </is>
      </c>
      <c r="F17" s="4" t="inlineStr">
        <is>
          <t>WMC-HW-4006</t>
        </is>
      </c>
      <c r="G17" s="86" t="n"/>
      <c r="H17" s="12" t="inlineStr">
        <is>
          <t>neue Dockingstation wird benötigt</t>
        </is>
      </c>
      <c r="L17" s="21" t="inlineStr">
        <is>
          <t>Maus Logitech M185</t>
        </is>
      </c>
      <c r="M17" s="12" t="n">
        <v>2</v>
      </c>
      <c r="N17" s="162" t="inlineStr">
        <is>
          <t>Maus und Tastatur als Bundle</t>
        </is>
      </c>
    </row>
    <row r="18" ht="16.2" customHeight="1" thickBot="1">
      <c r="B18" s="158" t="n"/>
      <c r="C18" s="4" t="inlineStr">
        <is>
          <t>Kensington</t>
        </is>
      </c>
      <c r="D18" s="4" t="inlineStr">
        <is>
          <t>Notebook Ständer</t>
        </is>
      </c>
      <c r="E18" s="4" t="inlineStr">
        <is>
          <t>K60112</t>
        </is>
      </c>
      <c r="F18" s="4" t="inlineStr">
        <is>
          <t>WMC-HW-5002</t>
        </is>
      </c>
      <c r="G18" s="86" t="n"/>
      <c r="H18" s="12" t="n"/>
      <c r="L18" s="22" t="inlineStr">
        <is>
          <t>Tastatur Logitech K270</t>
        </is>
      </c>
      <c r="M18" s="14" t="n">
        <v>2</v>
      </c>
      <c r="N18" s="163" t="n"/>
    </row>
    <row r="19" ht="16.2" customHeight="1" thickBot="1">
      <c r="B19" s="19" t="n"/>
      <c r="C19" s="13" t="n"/>
      <c r="D19" s="13" t="inlineStr">
        <is>
          <t>Headset</t>
        </is>
      </c>
      <c r="E19" s="13" t="n"/>
      <c r="F19" s="13" t="inlineStr">
        <is>
          <t>WMC-HW-6002</t>
        </is>
      </c>
      <c r="G19" s="159" t="n"/>
      <c r="H19" s="14" t="n"/>
    </row>
    <row r="20" ht="16.2" customHeight="1" thickBot="1">
      <c r="B20" s="160" t="n"/>
      <c r="H20" s="90" t="n"/>
    </row>
    <row r="21">
      <c r="B21" s="145" t="inlineStr">
        <is>
          <t>WMC-WP-03</t>
        </is>
      </c>
      <c r="C21" s="10" t="inlineStr">
        <is>
          <t xml:space="preserve">Samsung </t>
        </is>
      </c>
      <c r="D21" s="10" t="inlineStr">
        <is>
          <t>Monitor</t>
        </is>
      </c>
      <c r="E21" s="10" t="inlineStr">
        <is>
          <t>U28R554UQU</t>
        </is>
      </c>
      <c r="F21" s="10" t="inlineStr">
        <is>
          <t>WMC-HW-1005</t>
        </is>
      </c>
      <c r="G21" s="155" t="inlineStr">
        <is>
          <t>Martin Kessler</t>
        </is>
      </c>
      <c r="H21" s="11" t="n"/>
    </row>
    <row r="22">
      <c r="B22" s="158" t="n"/>
      <c r="C22" s="4" t="inlineStr">
        <is>
          <t xml:space="preserve">Samsung </t>
        </is>
      </c>
      <c r="D22" s="4" t="inlineStr">
        <is>
          <t>Monitor</t>
        </is>
      </c>
      <c r="E22" s="4" t="inlineStr">
        <is>
          <t>U28R554UQU</t>
        </is>
      </c>
      <c r="F22" s="4" t="inlineStr">
        <is>
          <t>WMC-HW-1006</t>
        </is>
      </c>
      <c r="G22" s="86" t="n"/>
      <c r="H22" s="12" t="n"/>
    </row>
    <row r="23">
      <c r="B23" s="158" t="n"/>
      <c r="C23" s="4" t="inlineStr">
        <is>
          <t>Logitech</t>
        </is>
      </c>
      <c r="D23" s="4" t="inlineStr">
        <is>
          <t xml:space="preserve">Maus </t>
        </is>
      </c>
      <c r="E23" s="4" t="inlineStr">
        <is>
          <t>M185</t>
        </is>
      </c>
      <c r="F23" s="4" t="inlineStr">
        <is>
          <t>WMC-HW-2003</t>
        </is>
      </c>
      <c r="G23" s="86" t="n"/>
      <c r="H23" s="12" t="n"/>
    </row>
    <row r="24">
      <c r="B24" s="158" t="n"/>
      <c r="C24" s="4" t="inlineStr">
        <is>
          <t>Logitech</t>
        </is>
      </c>
      <c r="D24" s="4" t="inlineStr">
        <is>
          <t>Tastatur</t>
        </is>
      </c>
      <c r="E24" s="4" t="inlineStr">
        <is>
          <t>K270</t>
        </is>
      </c>
      <c r="F24" s="4" t="inlineStr">
        <is>
          <t>WMC-HW-3003</t>
        </is>
      </c>
      <c r="G24" s="86" t="n"/>
      <c r="H24" s="12" t="n"/>
    </row>
    <row r="25">
      <c r="B25" s="158" t="n"/>
      <c r="C25" s="4" t="inlineStr">
        <is>
          <t>Dell</t>
        </is>
      </c>
      <c r="D25" s="4" t="inlineStr">
        <is>
          <t>Docking Station</t>
        </is>
      </c>
      <c r="E25" s="4" t="inlineStr">
        <is>
          <t>Display Link</t>
        </is>
      </c>
      <c r="F25" s="4" t="inlineStr">
        <is>
          <t>WMC-HW-4003</t>
        </is>
      </c>
      <c r="G25" s="86" t="n"/>
      <c r="H25" s="12" t="n"/>
    </row>
    <row r="26">
      <c r="B26" s="158" t="n"/>
      <c r="C26" s="4" t="inlineStr">
        <is>
          <t>Kensington</t>
        </is>
      </c>
      <c r="D26" s="4" t="inlineStr">
        <is>
          <t>Notebook Ständer</t>
        </is>
      </c>
      <c r="E26" s="4" t="inlineStr">
        <is>
          <t>K60112</t>
        </is>
      </c>
      <c r="F26" s="4" t="inlineStr">
        <is>
          <t>WMC-HW-5003</t>
        </is>
      </c>
      <c r="G26" s="86" t="n"/>
      <c r="H26" s="12" t="n"/>
    </row>
    <row r="27" ht="16.2" customHeight="1" thickBot="1">
      <c r="B27" s="19" t="n"/>
      <c r="C27" s="13" t="inlineStr">
        <is>
          <t>Plantronics</t>
        </is>
      </c>
      <c r="D27" s="13" t="inlineStr">
        <is>
          <t>Headset</t>
        </is>
      </c>
      <c r="E27" s="13" t="inlineStr">
        <is>
          <t>Audio 628USB</t>
        </is>
      </c>
      <c r="F27" s="13" t="inlineStr">
        <is>
          <t>WMC-HW-6003</t>
        </is>
      </c>
      <c r="G27" s="159" t="n"/>
      <c r="H27" s="14" t="n"/>
    </row>
    <row r="28" ht="16.2" customHeight="1" thickBot="1">
      <c r="B28" s="160" t="n"/>
      <c r="H28" s="90" t="n"/>
    </row>
    <row r="29">
      <c r="B29" s="145" t="inlineStr">
        <is>
          <t>WMC-WP-04</t>
        </is>
      </c>
      <c r="C29" s="10" t="inlineStr">
        <is>
          <t xml:space="preserve">Samsung </t>
        </is>
      </c>
      <c r="D29" s="10" t="inlineStr">
        <is>
          <t>Monitor</t>
        </is>
      </c>
      <c r="E29" s="10" t="inlineStr">
        <is>
          <t>U28R554UQU</t>
        </is>
      </c>
      <c r="F29" s="10" t="inlineStr">
        <is>
          <t>WMC-HW-1007</t>
        </is>
      </c>
      <c r="G29" s="161" t="inlineStr">
        <is>
          <t>Simon Albrecht</t>
        </is>
      </c>
      <c r="H29" s="11" t="n"/>
    </row>
    <row r="30">
      <c r="B30" s="158" t="n"/>
      <c r="C30" s="4" t="inlineStr">
        <is>
          <t xml:space="preserve">Samsung </t>
        </is>
      </c>
      <c r="D30" s="4" t="inlineStr">
        <is>
          <t>Monitor</t>
        </is>
      </c>
      <c r="E30" s="4" t="inlineStr">
        <is>
          <t>U28R554UQU</t>
        </is>
      </c>
      <c r="F30" s="4" t="inlineStr">
        <is>
          <t>WMC-HW-1008</t>
        </is>
      </c>
      <c r="G30" s="86" t="n"/>
      <c r="H30" s="12" t="n"/>
    </row>
    <row r="31">
      <c r="B31" s="158" t="n"/>
      <c r="C31" s="4" t="inlineStr">
        <is>
          <t>Logitech</t>
        </is>
      </c>
      <c r="D31" s="4" t="inlineStr">
        <is>
          <t xml:space="preserve">Maus </t>
        </is>
      </c>
      <c r="E31" s="4" t="inlineStr">
        <is>
          <t>M185</t>
        </is>
      </c>
      <c r="F31" s="4" t="inlineStr">
        <is>
          <t>WMC-HW-2004</t>
        </is>
      </c>
      <c r="G31" s="86" t="n"/>
      <c r="H31" s="12" t="inlineStr">
        <is>
          <t>zweite Maus wird benötigt.</t>
        </is>
      </c>
    </row>
    <row r="32">
      <c r="B32" s="158" t="n"/>
      <c r="C32" s="4" t="inlineStr">
        <is>
          <t>Logitech</t>
        </is>
      </c>
      <c r="D32" s="4" t="inlineStr">
        <is>
          <t>Tastatur</t>
        </is>
      </c>
      <c r="E32" s="4" t="inlineStr">
        <is>
          <t>K270</t>
        </is>
      </c>
      <c r="F32" s="4" t="inlineStr">
        <is>
          <t>WMC-HW-3004</t>
        </is>
      </c>
      <c r="G32" s="86" t="n"/>
      <c r="H32" s="12" t="n"/>
    </row>
    <row r="33">
      <c r="B33" s="158" t="n"/>
      <c r="C33" s="4" t="inlineStr">
        <is>
          <t>Dell</t>
        </is>
      </c>
      <c r="D33" s="4" t="inlineStr">
        <is>
          <t>Docking Station</t>
        </is>
      </c>
      <c r="E33" s="4" t="inlineStr">
        <is>
          <t>Display Link</t>
        </is>
      </c>
      <c r="F33" s="4" t="inlineStr">
        <is>
          <t>WMC-HW-4004</t>
        </is>
      </c>
      <c r="G33" s="86" t="n"/>
      <c r="H33" s="12" t="n"/>
    </row>
    <row r="34">
      <c r="B34" s="158" t="n"/>
      <c r="C34" s="4" t="inlineStr">
        <is>
          <t>Kensington</t>
        </is>
      </c>
      <c r="D34" s="4" t="inlineStr">
        <is>
          <t>Notebook Ständer</t>
        </is>
      </c>
      <c r="E34" s="4" t="inlineStr">
        <is>
          <t>K60112</t>
        </is>
      </c>
      <c r="F34" s="4" t="inlineStr">
        <is>
          <t>WMC-HW-5004</t>
        </is>
      </c>
      <c r="G34" s="86" t="n"/>
      <c r="H34" s="12" t="n"/>
    </row>
    <row r="35" ht="16.2" customHeight="1" thickBot="1">
      <c r="B35" s="19" t="n"/>
      <c r="C35" s="13" t="inlineStr">
        <is>
          <t>Plantronics</t>
        </is>
      </c>
      <c r="D35" s="13" t="inlineStr">
        <is>
          <t>Headset</t>
        </is>
      </c>
      <c r="E35" s="13" t="inlineStr">
        <is>
          <t>Audio 628USB</t>
        </is>
      </c>
      <c r="F35" s="13" t="inlineStr">
        <is>
          <t>WMC-HW-6004</t>
        </is>
      </c>
      <c r="G35" s="159" t="n"/>
      <c r="H35" s="14" t="n"/>
    </row>
    <row r="36" ht="16.2" customHeight="1" thickBot="1">
      <c r="B36" s="160" t="n"/>
      <c r="H36" s="90" t="n"/>
    </row>
    <row r="37">
      <c r="B37" s="148" t="inlineStr">
        <is>
          <t>WMC-WP-05</t>
        </is>
      </c>
      <c r="C37" s="15" t="inlineStr">
        <is>
          <t xml:space="preserve">Samsung </t>
        </is>
      </c>
      <c r="D37" s="15" t="inlineStr">
        <is>
          <t>Monitor</t>
        </is>
      </c>
      <c r="E37" s="15" t="inlineStr">
        <is>
          <t>U28R554UQU</t>
        </is>
      </c>
      <c r="F37" s="10" t="inlineStr">
        <is>
          <t>WMC-HW-1009</t>
        </is>
      </c>
      <c r="G37" s="155" t="inlineStr">
        <is>
          <t>Benedikt Hartung</t>
        </is>
      </c>
      <c r="H37" s="11" t="n"/>
    </row>
    <row r="38">
      <c r="B38" s="158" t="n"/>
      <c r="C38" s="6" t="inlineStr">
        <is>
          <t xml:space="preserve">Samsung </t>
        </is>
      </c>
      <c r="D38" s="6" t="inlineStr">
        <is>
          <t>Monitor</t>
        </is>
      </c>
      <c r="E38" s="6" t="inlineStr">
        <is>
          <t>U28R554UQU</t>
        </is>
      </c>
      <c r="F38" s="4" t="inlineStr">
        <is>
          <t>WMC-HW-1010</t>
        </is>
      </c>
      <c r="G38" s="86" t="n"/>
      <c r="H38" s="12" t="n"/>
    </row>
    <row r="39">
      <c r="B39" s="158" t="n"/>
      <c r="C39" s="6" t="inlineStr">
        <is>
          <t>Logitech</t>
        </is>
      </c>
      <c r="D39" s="6" t="inlineStr">
        <is>
          <t xml:space="preserve">Maus </t>
        </is>
      </c>
      <c r="E39" s="6" t="inlineStr">
        <is>
          <t>M185</t>
        </is>
      </c>
      <c r="F39" s="4" t="inlineStr">
        <is>
          <t>WMC-HW-2005</t>
        </is>
      </c>
      <c r="G39" s="86" t="n"/>
      <c r="H39" s="12" t="inlineStr">
        <is>
          <t>Zweite Maus wird benötigt.</t>
        </is>
      </c>
    </row>
    <row r="40">
      <c r="B40" s="158" t="n"/>
      <c r="C40" s="6" t="inlineStr">
        <is>
          <t>Logitech</t>
        </is>
      </c>
      <c r="D40" s="6" t="inlineStr">
        <is>
          <t>Tastatur</t>
        </is>
      </c>
      <c r="E40" s="6" t="inlineStr">
        <is>
          <t>K270</t>
        </is>
      </c>
      <c r="F40" s="4" t="inlineStr">
        <is>
          <t>WMC-HW-3005</t>
        </is>
      </c>
      <c r="G40" s="86" t="n"/>
      <c r="H40" s="12" t="n"/>
    </row>
    <row r="41">
      <c r="B41" s="158" t="n"/>
      <c r="C41" s="6" t="inlineStr">
        <is>
          <t>Dell</t>
        </is>
      </c>
      <c r="D41" s="6" t="inlineStr">
        <is>
          <t>Docking Station</t>
        </is>
      </c>
      <c r="E41" s="6" t="inlineStr">
        <is>
          <t>Display Link</t>
        </is>
      </c>
      <c r="F41" s="4" t="inlineStr">
        <is>
          <t>WMC-HW-4005</t>
        </is>
      </c>
      <c r="G41" s="86" t="n"/>
      <c r="H41" s="12" t="n"/>
    </row>
    <row r="42">
      <c r="B42" s="158" t="n"/>
      <c r="C42" s="6" t="inlineStr">
        <is>
          <t>Kensington</t>
        </is>
      </c>
      <c r="D42" s="6" t="inlineStr">
        <is>
          <t>Notebook Ständer</t>
        </is>
      </c>
      <c r="E42" s="6" t="inlineStr">
        <is>
          <t>K60112</t>
        </is>
      </c>
      <c r="F42" s="4" t="inlineStr">
        <is>
          <t>WMC-HW-5005</t>
        </is>
      </c>
      <c r="G42" s="86" t="n"/>
      <c r="H42" s="12" t="n"/>
    </row>
    <row r="43" ht="16.2" customHeight="1" thickBot="1">
      <c r="B43" s="19" t="n"/>
      <c r="C43" s="13" t="inlineStr">
        <is>
          <t>Plantronics</t>
        </is>
      </c>
      <c r="D43" s="13" t="inlineStr">
        <is>
          <t>Headset</t>
        </is>
      </c>
      <c r="E43" s="13" t="inlineStr">
        <is>
          <t>Audio 628USB</t>
        </is>
      </c>
      <c r="F43" s="13" t="inlineStr">
        <is>
          <t>WMC-HW-6005</t>
        </is>
      </c>
      <c r="G43" s="159" t="n"/>
      <c r="H43" s="14" t="n"/>
    </row>
    <row r="44" ht="16.2" customHeight="1" thickBot="1">
      <c r="B44" s="164" t="n"/>
      <c r="H44" s="90" t="n"/>
    </row>
    <row r="45">
      <c r="B45" s="148" t="inlineStr">
        <is>
          <t>WMC-WP-06</t>
        </is>
      </c>
      <c r="C45" s="15" t="inlineStr">
        <is>
          <t xml:space="preserve">Samsung </t>
        </is>
      </c>
      <c r="D45" s="15" t="inlineStr">
        <is>
          <t>Monitor</t>
        </is>
      </c>
      <c r="E45" s="15" t="inlineStr">
        <is>
          <t>U28R554UQU</t>
        </is>
      </c>
      <c r="F45" s="10" t="inlineStr">
        <is>
          <t>WMC-HW-1011</t>
        </is>
      </c>
      <c r="G45" s="155" t="inlineStr">
        <is>
          <t>Theo Albrecht</t>
        </is>
      </c>
      <c r="H45" s="11" t="n"/>
    </row>
    <row r="46">
      <c r="B46" s="158" t="n"/>
      <c r="C46" s="6" t="inlineStr">
        <is>
          <t xml:space="preserve">Samsung </t>
        </is>
      </c>
      <c r="D46" s="6" t="inlineStr">
        <is>
          <t>Monitor</t>
        </is>
      </c>
      <c r="E46" s="6" t="inlineStr">
        <is>
          <t>U28R554UQU</t>
        </is>
      </c>
      <c r="F46" s="4" t="inlineStr">
        <is>
          <t>WMC-HW-1012</t>
        </is>
      </c>
      <c r="G46" s="86" t="n"/>
      <c r="H46" s="12" t="n"/>
    </row>
    <row r="47">
      <c r="B47" s="158" t="n"/>
      <c r="C47" s="6" t="inlineStr">
        <is>
          <t>Logitech</t>
        </is>
      </c>
      <c r="D47" s="6" t="inlineStr">
        <is>
          <t xml:space="preserve">Maus </t>
        </is>
      </c>
      <c r="E47" s="6" t="inlineStr">
        <is>
          <t>M185</t>
        </is>
      </c>
      <c r="F47" s="4" t="inlineStr">
        <is>
          <t>WMC-HW-2006</t>
        </is>
      </c>
      <c r="G47" s="86" t="n"/>
      <c r="H47" s="12" t="n"/>
    </row>
    <row r="48">
      <c r="B48" s="158" t="n"/>
      <c r="C48" s="6" t="inlineStr">
        <is>
          <t>Logitech</t>
        </is>
      </c>
      <c r="D48" s="6" t="inlineStr">
        <is>
          <t>Tastatur</t>
        </is>
      </c>
      <c r="E48" s="6" t="inlineStr">
        <is>
          <t>K270</t>
        </is>
      </c>
      <c r="F48" s="4" t="inlineStr">
        <is>
          <t>WMC-HW-3006</t>
        </is>
      </c>
      <c r="G48" s="86" t="n"/>
      <c r="H48" s="12" t="n"/>
    </row>
    <row r="49">
      <c r="B49" s="158" t="n"/>
      <c r="C49" s="6" t="inlineStr">
        <is>
          <t>Dell</t>
        </is>
      </c>
      <c r="D49" s="6" t="inlineStr">
        <is>
          <t>Docking Station</t>
        </is>
      </c>
      <c r="E49" s="6" t="inlineStr">
        <is>
          <t>Display Link</t>
        </is>
      </c>
      <c r="F49" s="4" t="inlineStr">
        <is>
          <t>Nicht vorhanden</t>
        </is>
      </c>
      <c r="G49" s="86" t="n"/>
      <c r="H49" s="12" t="n"/>
    </row>
    <row r="50">
      <c r="B50" s="158" t="n"/>
      <c r="C50" s="6" t="inlineStr">
        <is>
          <t>Kensington</t>
        </is>
      </c>
      <c r="D50" s="6" t="inlineStr">
        <is>
          <t>Notebook Ständer</t>
        </is>
      </c>
      <c r="E50" s="6" t="inlineStr">
        <is>
          <t>K60112</t>
        </is>
      </c>
      <c r="F50" s="4" t="inlineStr">
        <is>
          <t>WMC-HW-5006</t>
        </is>
      </c>
      <c r="G50" s="86" t="n"/>
      <c r="H50" s="12" t="n"/>
    </row>
    <row r="51" ht="16.2" customHeight="1" thickBot="1">
      <c r="B51" s="19" t="n"/>
      <c r="C51" s="13" t="inlineStr">
        <is>
          <t>Plantronics</t>
        </is>
      </c>
      <c r="D51" s="13" t="inlineStr">
        <is>
          <t>Headset</t>
        </is>
      </c>
      <c r="E51" s="13" t="inlineStr">
        <is>
          <t>Audio 628USB</t>
        </is>
      </c>
      <c r="F51" s="13" t="inlineStr">
        <is>
          <t>WMC-HW-6006</t>
        </is>
      </c>
      <c r="G51" s="159" t="n"/>
      <c r="H51" s="14" t="n"/>
    </row>
    <row r="52" ht="16.2" customHeight="1" thickBot="1">
      <c r="B52" s="160" t="n"/>
      <c r="H52" s="90" t="n"/>
    </row>
    <row r="53" ht="16.2" customHeight="1" thickBot="1">
      <c r="B53" s="142" t="inlineStr">
        <is>
          <t>WMC-WP-07 (aufgelöst)</t>
        </is>
      </c>
      <c r="C53" s="15" t="inlineStr">
        <is>
          <t xml:space="preserve">Samsung </t>
        </is>
      </c>
      <c r="D53" s="15" t="inlineStr">
        <is>
          <t>Monitor</t>
        </is>
      </c>
      <c r="E53" s="15" t="inlineStr">
        <is>
          <t>U28R554UQU</t>
        </is>
      </c>
      <c r="F53" s="10" t="inlineStr">
        <is>
          <t>WMC-HW-1013</t>
        </is>
      </c>
      <c r="G53" s="26" t="inlineStr">
        <is>
          <t>Viktor Albrecht</t>
        </is>
      </c>
      <c r="H53" s="11" t="inlineStr">
        <is>
          <t>Viktors Büro</t>
        </is>
      </c>
    </row>
    <row r="54" ht="16.2" customHeight="1" thickBot="1">
      <c r="B54" s="158" t="n"/>
      <c r="C54" s="6" t="inlineStr">
        <is>
          <t>Logitech</t>
        </is>
      </c>
      <c r="D54" s="6" t="inlineStr">
        <is>
          <t xml:space="preserve">Maus </t>
        </is>
      </c>
      <c r="E54" s="6" t="inlineStr">
        <is>
          <t>M185</t>
        </is>
      </c>
      <c r="F54" s="4" t="inlineStr">
        <is>
          <t>WMC-HW-2007</t>
        </is>
      </c>
      <c r="G54" s="26" t="inlineStr">
        <is>
          <t>Viktor Albrecht</t>
        </is>
      </c>
      <c r="H54" s="12" t="inlineStr">
        <is>
          <t>Bei Viktor im Büro</t>
        </is>
      </c>
    </row>
    <row r="55">
      <c r="B55" s="158" t="n"/>
      <c r="C55" s="6" t="inlineStr">
        <is>
          <t>Logitech</t>
        </is>
      </c>
      <c r="D55" s="6" t="inlineStr">
        <is>
          <t>Tastatur</t>
        </is>
      </c>
      <c r="E55" s="6" t="inlineStr">
        <is>
          <t>K270</t>
        </is>
      </c>
      <c r="F55" s="4" t="inlineStr">
        <is>
          <t>WMC-HW-3007</t>
        </is>
      </c>
      <c r="G55" s="26" t="inlineStr">
        <is>
          <t>Viktor Albrecht</t>
        </is>
      </c>
      <c r="H55" s="12" t="n"/>
    </row>
    <row r="56">
      <c r="B56" s="158" t="n"/>
      <c r="C56" s="6" t="n"/>
      <c r="D56" s="6" t="inlineStr">
        <is>
          <t>Docking Station</t>
        </is>
      </c>
      <c r="E56" s="6" t="n"/>
      <c r="F56" s="4" t="n"/>
      <c r="G56" s="24" t="n"/>
      <c r="H56" s="12" t="inlineStr">
        <is>
          <t>Nicht vorhanden</t>
        </is>
      </c>
    </row>
    <row r="57">
      <c r="B57" s="158" t="n"/>
      <c r="C57" s="6" t="inlineStr">
        <is>
          <t>Kensington</t>
        </is>
      </c>
      <c r="D57" s="6" t="inlineStr">
        <is>
          <t>Notebook Ständer</t>
        </is>
      </c>
      <c r="E57" s="6" t="inlineStr">
        <is>
          <t>K60112</t>
        </is>
      </c>
      <c r="F57" s="4" t="inlineStr">
        <is>
          <t>WMC-HW-5007</t>
        </is>
      </c>
      <c r="G57" s="24" t="n"/>
      <c r="H57" s="12" t="n"/>
    </row>
    <row r="58" ht="16.2" customHeight="1" thickBot="1">
      <c r="B58" s="19" t="n"/>
      <c r="C58" s="13" t="inlineStr">
        <is>
          <t>Plantronics</t>
        </is>
      </c>
      <c r="D58" s="13" t="inlineStr">
        <is>
          <t>Headset</t>
        </is>
      </c>
      <c r="E58" s="13" t="inlineStr">
        <is>
          <t>Audio 628USB</t>
        </is>
      </c>
      <c r="F58" s="13" t="inlineStr">
        <is>
          <t>WMC-HW-6007</t>
        </is>
      </c>
      <c r="G58" s="25" t="n"/>
      <c r="H58" s="14" t="n"/>
    </row>
    <row r="59">
      <c r="B59" s="89" t="n"/>
      <c r="C59" s="91" t="inlineStr">
        <is>
          <t>Apple</t>
        </is>
      </c>
      <c r="D59" s="91" t="inlineStr">
        <is>
          <t>Tablet</t>
        </is>
      </c>
      <c r="E59" s="91" t="inlineStr">
        <is>
          <t>Ipad Air 13 Zoll</t>
        </is>
      </c>
      <c r="F59" s="86" t="inlineStr">
        <is>
          <t>GW6K6827HZ</t>
        </is>
      </c>
      <c r="H59" s="90" t="n"/>
    </row>
    <row r="60" ht="16.2" customHeight="1" thickBot="1">
      <c r="B60" s="89" t="n"/>
      <c r="C60" s="33" t="inlineStr">
        <is>
          <t>DJI</t>
        </is>
      </c>
      <c r="D60" s="33" t="inlineStr">
        <is>
          <t>Gimbel</t>
        </is>
      </c>
      <c r="E60" s="33" t="inlineStr">
        <is>
          <t>Osmo-Pocket 3</t>
        </is>
      </c>
      <c r="F60" s="13" t="inlineStr">
        <is>
          <t>WMC-HW-6007</t>
        </is>
      </c>
      <c r="H60" s="90" t="n"/>
    </row>
    <row r="61" ht="16.2" customHeight="1" thickBot="1">
      <c r="B61" s="164" t="n"/>
      <c r="H61" s="90" t="n"/>
    </row>
    <row r="62">
      <c r="B62" s="142" t="inlineStr">
        <is>
          <t>WMC-WP-08 (aufgelöst)</t>
        </is>
      </c>
      <c r="C62" s="15" t="inlineStr">
        <is>
          <t xml:space="preserve">Samsung </t>
        </is>
      </c>
      <c r="D62" s="15" t="inlineStr">
        <is>
          <t>Monitor</t>
        </is>
      </c>
      <c r="E62" s="15" t="inlineStr">
        <is>
          <t>U28R554UQU</t>
        </is>
      </c>
      <c r="F62" s="10" t="inlineStr">
        <is>
          <t>WMC-HW-1014</t>
        </is>
      </c>
      <c r="G62" s="23" t="inlineStr">
        <is>
          <t>Viktor Albrecht</t>
        </is>
      </c>
      <c r="H62" s="11" t="inlineStr">
        <is>
          <t>Viktors Büro</t>
        </is>
      </c>
    </row>
    <row r="63">
      <c r="B63" s="158" t="n"/>
      <c r="C63" s="6" t="inlineStr">
        <is>
          <t>Logitech</t>
        </is>
      </c>
      <c r="D63" s="6" t="inlineStr">
        <is>
          <t xml:space="preserve">Maus </t>
        </is>
      </c>
      <c r="E63" s="6" t="inlineStr">
        <is>
          <t>M185</t>
        </is>
      </c>
      <c r="F63" s="4" t="inlineStr">
        <is>
          <t>WMC-HW-2008</t>
        </is>
      </c>
      <c r="G63" s="24" t="n"/>
      <c r="H63" s="12" t="n"/>
    </row>
    <row r="64">
      <c r="B64" s="158" t="n"/>
      <c r="C64" s="6" t="inlineStr">
        <is>
          <t>Logitech</t>
        </is>
      </c>
      <c r="D64" s="6" t="inlineStr">
        <is>
          <t>Tastatur</t>
        </is>
      </c>
      <c r="E64" s="6" t="inlineStr">
        <is>
          <t>K270</t>
        </is>
      </c>
      <c r="F64" s="4" t="inlineStr">
        <is>
          <t>WMC-HW-3008</t>
        </is>
      </c>
      <c r="G64" s="24" t="n"/>
      <c r="H64" s="12" t="inlineStr">
        <is>
          <t>Server Raum</t>
        </is>
      </c>
    </row>
    <row r="65">
      <c r="B65" s="158" t="n"/>
      <c r="C65" s="6" t="n"/>
      <c r="D65" s="6" t="inlineStr">
        <is>
          <t>Docking Station</t>
        </is>
      </c>
      <c r="E65" s="6" t="n"/>
      <c r="F65" s="4" t="n"/>
      <c r="G65" s="24" t="n"/>
      <c r="H65" s="12" t="inlineStr">
        <is>
          <t>Nicht vorhanden</t>
        </is>
      </c>
    </row>
    <row r="66">
      <c r="B66" s="158" t="n"/>
      <c r="C66" s="6" t="inlineStr">
        <is>
          <t>Kensington</t>
        </is>
      </c>
      <c r="D66" s="6" t="inlineStr">
        <is>
          <t>Notebook Ständer</t>
        </is>
      </c>
      <c r="E66" s="6" t="inlineStr">
        <is>
          <t>K60112</t>
        </is>
      </c>
      <c r="F66" s="4" t="inlineStr">
        <is>
          <t>WMC-HW-5008</t>
        </is>
      </c>
      <c r="G66" s="24" t="n"/>
      <c r="H66" s="12" t="n"/>
    </row>
    <row r="67" ht="16.2" customHeight="1" thickBot="1">
      <c r="B67" s="19" t="n"/>
      <c r="C67" s="13" t="inlineStr">
        <is>
          <t>Plantronics</t>
        </is>
      </c>
      <c r="D67" s="13" t="inlineStr">
        <is>
          <t>Headset</t>
        </is>
      </c>
      <c r="E67" s="13" t="inlineStr">
        <is>
          <t>Audio 628USB</t>
        </is>
      </c>
      <c r="F67" s="13" t="inlineStr">
        <is>
          <t>WMC-HW-6008</t>
        </is>
      </c>
      <c r="G67" s="25" t="n"/>
      <c r="H67" s="14" t="n"/>
    </row>
    <row r="68" ht="16.2" customHeight="1" thickBot="1">
      <c r="B68" s="165" t="n"/>
      <c r="C68" s="166" t="n"/>
      <c r="D68" s="166" t="n"/>
      <c r="E68" s="166" t="n"/>
      <c r="F68" s="166" t="n"/>
      <c r="G68" s="166" t="n"/>
      <c r="H68" s="157" t="n"/>
    </row>
  </sheetData>
  <mergeCells count="24">
    <mergeCell ref="L4:M5"/>
    <mergeCell ref="B13:B19"/>
    <mergeCell ref="B68:H68"/>
    <mergeCell ref="G37:G43"/>
    <mergeCell ref="B37:B43"/>
    <mergeCell ref="B20:H20"/>
    <mergeCell ref="G5:G11"/>
    <mergeCell ref="B36:H36"/>
    <mergeCell ref="B62:B67"/>
    <mergeCell ref="B5:B11"/>
    <mergeCell ref="G45:G51"/>
    <mergeCell ref="N17:N18"/>
    <mergeCell ref="G29:G35"/>
    <mergeCell ref="B45:B51"/>
    <mergeCell ref="B52:H52"/>
    <mergeCell ref="B12:H12"/>
    <mergeCell ref="G21:G27"/>
    <mergeCell ref="B53:B58"/>
    <mergeCell ref="B21:B27"/>
    <mergeCell ref="B61:H61"/>
    <mergeCell ref="B44:H44"/>
    <mergeCell ref="G13:G19"/>
    <mergeCell ref="B29:B35"/>
    <mergeCell ref="B28:H28"/>
  </mergeCells>
  <pageMargins left="0.7" right="0.7" top="0.787401575" bottom="0.7874015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="88" workbookViewId="0">
      <selection activeCell="G28" sqref="G28"/>
    </sheetView>
  </sheetViews>
  <sheetFormatPr baseColWidth="10" defaultColWidth="8.796875" defaultRowHeight="15.6"/>
  <cols>
    <col width="15.69921875" customWidth="1" min="1" max="1"/>
    <col width="17.69921875" customWidth="1" min="2" max="2"/>
    <col width="17.796875" customWidth="1" min="3" max="3"/>
    <col width="19.19921875" bestFit="1" customWidth="1" min="4" max="4"/>
    <col width="19.19921875" customWidth="1" min="5" max="5"/>
    <col width="18.796875" customWidth="1" min="6" max="6"/>
    <col width="18" customWidth="1" min="7" max="8"/>
    <col width="11.19921875" customWidth="1" min="9" max="9"/>
    <col width="12.69921875" customWidth="1" min="10" max="10"/>
    <col width="34.19921875" customWidth="1" style="51" min="11" max="11"/>
    <col width="23.69921875" customWidth="1" style="51" min="12" max="12"/>
    <col width="18.69921875" customWidth="1" style="51" min="13" max="13"/>
    <col width="10.69921875" customWidth="1" min="14" max="14"/>
    <col width="37.19921875" bestFit="1" customWidth="1" min="15" max="15"/>
    <col width="16.796875" customWidth="1" min="16" max="16"/>
  </cols>
  <sheetData>
    <row r="1" ht="61.2" customHeight="1">
      <c r="B1" s="38" t="inlineStr">
        <is>
          <t>Bedarfsanalyse Hardware 2025</t>
        </is>
      </c>
    </row>
    <row r="2"/>
    <row r="3"/>
    <row r="4"/>
    <row r="5" ht="21" customHeight="1">
      <c r="B5" s="109" t="inlineStr">
        <is>
          <t>Typ</t>
        </is>
      </c>
      <c r="C5" s="109" t="inlineStr">
        <is>
          <t>Hersteller</t>
        </is>
      </c>
      <c r="D5" s="109" t="inlineStr">
        <is>
          <t>Modell</t>
        </is>
      </c>
      <c r="E5" s="109" t="inlineStr">
        <is>
          <t>Rabatt Amazon</t>
        </is>
      </c>
      <c r="F5" s="109" t="inlineStr">
        <is>
          <t>Preis (Brutto)</t>
        </is>
      </c>
      <c r="G5" s="109" t="inlineStr">
        <is>
          <t>Preis (Netto)</t>
        </is>
      </c>
      <c r="H5" s="109" t="inlineStr">
        <is>
          <t>MWST (19%)</t>
        </is>
      </c>
      <c r="I5" s="109" t="inlineStr">
        <is>
          <t>Anzahl</t>
        </is>
      </c>
      <c r="J5" s="109" t="inlineStr">
        <is>
          <t>Summe</t>
        </is>
      </c>
      <c r="K5" s="110" t="inlineStr">
        <is>
          <t>Link</t>
        </is>
      </c>
      <c r="L5" s="110" t="inlineStr">
        <is>
          <t>Datum Bestellung</t>
        </is>
      </c>
      <c r="M5" s="110" t="inlineStr">
        <is>
          <t>Datum erhalt</t>
        </is>
      </c>
      <c r="N5" s="109" t="inlineStr">
        <is>
          <t>Status</t>
        </is>
      </c>
      <c r="O5" s="109" t="inlineStr">
        <is>
          <t>Kommentar</t>
        </is>
      </c>
      <c r="P5" s="110" t="inlineStr">
        <is>
          <t>Name</t>
        </is>
      </c>
    </row>
    <row r="6">
      <c r="B6" s="4" t="inlineStr">
        <is>
          <t>Docking Station</t>
        </is>
      </c>
      <c r="C6" s="4" t="n"/>
      <c r="D6" s="4" t="n"/>
      <c r="E6" s="111" t="n"/>
      <c r="F6" s="112" t="n"/>
      <c r="G6" s="113" t="n"/>
      <c r="H6" s="112" t="n"/>
      <c r="I6" s="4" t="n">
        <v>6</v>
      </c>
      <c r="J6" s="114" t="n"/>
      <c r="K6" s="115" t="n"/>
      <c r="L6" s="116" t="n"/>
      <c r="M6" s="117" t="n"/>
      <c r="N6" s="4" t="n"/>
      <c r="O6" s="8" t="n"/>
      <c r="P6" s="4" t="n"/>
    </row>
    <row r="7" hidden="1" ht="31.2" customHeight="1">
      <c r="B7" s="98" t="inlineStr">
        <is>
          <t>Maus</t>
        </is>
      </c>
      <c r="C7" s="99" t="inlineStr">
        <is>
          <t>Logitech</t>
        </is>
      </c>
      <c r="D7" s="99" t="inlineStr">
        <is>
          <t>MX Master 2S</t>
        </is>
      </c>
      <c r="E7" s="100" t="n"/>
      <c r="F7" s="101" t="n">
        <v>67</v>
      </c>
      <c r="G7" s="102">
        <f>Tabelle256[[#This Row],[Preis (Brutto)]]/119*100</f>
        <v/>
      </c>
      <c r="H7" s="103">
        <f>F7-Tabelle256[[#This Row],[Preis (Netto)]]</f>
        <v/>
      </c>
      <c r="I7" s="98" t="n">
        <v>4</v>
      </c>
      <c r="J7" s="104">
        <f>F7*I7</f>
        <v/>
      </c>
      <c r="K7" s="105" t="n"/>
      <c r="L7" s="106" t="n"/>
      <c r="M7" s="106" t="n">
        <v>45238</v>
      </c>
      <c r="N7" s="107" t="inlineStr">
        <is>
          <t>erledigt</t>
        </is>
      </c>
      <c r="O7" s="108" t="inlineStr">
        <is>
          <t xml:space="preserve">In Klärung: Soll an jedem Arbeitsplatz die gleiche Maus verwendet werden? </t>
        </is>
      </c>
    </row>
    <row r="8" hidden="1">
      <c r="B8" s="47" t="inlineStr">
        <is>
          <t>Webcam</t>
        </is>
      </c>
      <c r="C8" s="39" t="inlineStr">
        <is>
          <t>Logitech</t>
        </is>
      </c>
      <c r="D8" s="39" t="inlineStr">
        <is>
          <t>BRIO 4k STREAM</t>
        </is>
      </c>
      <c r="E8" s="57" t="n"/>
      <c r="F8" s="49" t="n">
        <v>150</v>
      </c>
      <c r="G8" s="73">
        <f>Tabelle256[[#This Row],[Preis (Brutto)]]/119*100</f>
        <v/>
      </c>
      <c r="H8" s="41">
        <f>F8-Tabelle256[[#This Row],[Preis (Netto)]]</f>
        <v/>
      </c>
      <c r="I8" s="47" t="n">
        <v>8</v>
      </c>
      <c r="J8" s="45">
        <f>F8*I8</f>
        <v/>
      </c>
      <c r="K8" s="40" t="n"/>
      <c r="L8" s="55" t="n">
        <v>45236</v>
      </c>
      <c r="M8" s="55" t="n">
        <v>45238</v>
      </c>
      <c r="N8" s="39" t="inlineStr">
        <is>
          <t>erledigt</t>
        </is>
      </c>
      <c r="O8" s="57" t="n"/>
    </row>
    <row r="9" hidden="1" ht="62.4" customHeight="1">
      <c r="B9" s="47" t="inlineStr">
        <is>
          <t>Rechner</t>
        </is>
      </c>
      <c r="C9" s="39" t="inlineStr">
        <is>
          <t>Apple</t>
        </is>
      </c>
      <c r="D9" s="39" t="inlineStr">
        <is>
          <t>Studio</t>
        </is>
      </c>
      <c r="E9" s="57" t="n"/>
      <c r="F9" s="49" t="n">
        <v>4799</v>
      </c>
      <c r="G9" s="73">
        <f>Tabelle256[[#This Row],[Preis (Brutto)]]/119*100</f>
        <v/>
      </c>
      <c r="H9" s="41">
        <f>F9-Tabelle256[[#This Row],[Preis (Netto)]]</f>
        <v/>
      </c>
      <c r="I9" s="47" t="n">
        <v>1</v>
      </c>
      <c r="J9" s="74">
        <f>F9*I9</f>
        <v/>
      </c>
      <c r="K9" s="50" t="inlineStr">
        <is>
          <t>https://example.com/link-entfernt</t>
        </is>
      </c>
      <c r="L9" s="55" t="n">
        <v>45191</v>
      </c>
      <c r="M9" s="55" t="n">
        <v>45191</v>
      </c>
      <c r="N9" s="39" t="inlineStr">
        <is>
          <t>erledigt</t>
        </is>
      </c>
      <c r="O9" s="56" t="inlineStr">
        <is>
          <t>Konfiguration: M2 Ultra Chip, Rest Basis
+ Apple Care</t>
        </is>
      </c>
    </row>
    <row r="10" hidden="1">
      <c r="B10" s="47" t="inlineStr">
        <is>
          <t>Kopfhörer</t>
        </is>
      </c>
      <c r="C10" s="39" t="inlineStr">
        <is>
          <t>Apple</t>
        </is>
      </c>
      <c r="D10" s="39" t="inlineStr">
        <is>
          <t xml:space="preserve">Airpods Pro 2 </t>
        </is>
      </c>
      <c r="E10" s="57" t="n"/>
      <c r="F10" s="49" t="n">
        <v>279</v>
      </c>
      <c r="G10" s="73">
        <f>Tabelle256[[#This Row],[Preis (Brutto)]]/119*100</f>
        <v/>
      </c>
      <c r="H10" s="41">
        <f>F10-Tabelle256[[#This Row],[Preis (Netto)]]</f>
        <v/>
      </c>
      <c r="I10" s="47" t="n">
        <v>5</v>
      </c>
      <c r="J10" s="74">
        <f>F10*I10</f>
        <v/>
      </c>
      <c r="K10" s="40" t="n"/>
      <c r="L10" s="55" t="n">
        <v>45191</v>
      </c>
      <c r="M10" s="55" t="n">
        <v>45191</v>
      </c>
      <c r="N10" s="39" t="inlineStr">
        <is>
          <t>erledigt</t>
        </is>
      </c>
      <c r="O10" s="57" t="n"/>
    </row>
    <row r="11" hidden="1">
      <c r="B11" s="47" t="inlineStr">
        <is>
          <t>Smartwatch</t>
        </is>
      </c>
      <c r="C11" s="39" t="inlineStr">
        <is>
          <t>Apple</t>
        </is>
      </c>
      <c r="D11" s="39" t="inlineStr">
        <is>
          <t>Watch Ultra 2</t>
        </is>
      </c>
      <c r="E11" s="57" t="n"/>
      <c r="F11" s="49" t="n">
        <v>899</v>
      </c>
      <c r="G11" s="73">
        <f>Tabelle256[[#This Row],[Preis (Brutto)]]/119*100</f>
        <v/>
      </c>
      <c r="H11" s="41">
        <f>F11-Tabelle256[[#This Row],[Preis (Netto)]]</f>
        <v/>
      </c>
      <c r="I11" s="47" t="n">
        <v>1</v>
      </c>
      <c r="J11" s="74">
        <f>F11*I11</f>
        <v/>
      </c>
      <c r="K11" s="40" t="n"/>
      <c r="L11" s="55" t="n">
        <v>45191</v>
      </c>
      <c r="M11" s="55" t="n">
        <v>45191</v>
      </c>
      <c r="N11" s="39" t="inlineStr">
        <is>
          <t>erledigt</t>
        </is>
      </c>
      <c r="O11" s="57" t="n"/>
    </row>
    <row r="12" hidden="1">
      <c r="B12" s="47" t="inlineStr">
        <is>
          <t>Smartphone</t>
        </is>
      </c>
      <c r="C12" s="39" t="inlineStr">
        <is>
          <t>Apple</t>
        </is>
      </c>
      <c r="D12" s="39" t="inlineStr">
        <is>
          <t>Iphone 15 Pro Max</t>
        </is>
      </c>
      <c r="E12" s="57" t="n"/>
      <c r="F12" s="49" t="n">
        <v>859.95</v>
      </c>
      <c r="G12" s="73">
        <f>Tabelle256[[#This Row],[Preis (Brutto)]]/119*100</f>
        <v/>
      </c>
      <c r="H12" s="41">
        <f>F12-Tabelle256[[#This Row],[Preis (Netto)]]</f>
        <v/>
      </c>
      <c r="I12" s="47" t="n">
        <v>2</v>
      </c>
      <c r="J12" s="74">
        <f>F12*I12</f>
        <v/>
      </c>
      <c r="K12" s="40" t="n"/>
      <c r="L12" s="55" t="n">
        <v>45189</v>
      </c>
      <c r="M12" s="55" t="n"/>
      <c r="N12" s="39" t="inlineStr">
        <is>
          <t>erledigt</t>
        </is>
      </c>
      <c r="O12" s="57" t="inlineStr">
        <is>
          <t>Lieferung ausstehend</t>
        </is>
      </c>
    </row>
    <row r="13" hidden="1" ht="46.8" customHeight="1">
      <c r="B13" s="47" t="inlineStr">
        <is>
          <t>Tablet</t>
        </is>
      </c>
      <c r="C13" s="39" t="inlineStr">
        <is>
          <t>Apple</t>
        </is>
      </c>
      <c r="D13" s="39" t="inlineStr">
        <is>
          <t>Ipad 11 Zoll 128 gb</t>
        </is>
      </c>
      <c r="E13" s="57" t="n"/>
      <c r="F13" s="49" t="n">
        <v>1049</v>
      </c>
      <c r="G13" s="73">
        <f>Tabelle256[[#This Row],[Preis (Brutto)]]/119*100</f>
        <v/>
      </c>
      <c r="H13" s="41">
        <f>F13-Tabelle256[[#This Row],[Preis (Netto)]]</f>
        <v/>
      </c>
      <c r="I13" s="47" t="n">
        <v>2</v>
      </c>
      <c r="J13" s="74">
        <f>F13*I13</f>
        <v/>
      </c>
      <c r="K13" s="42" t="inlineStr">
        <is>
          <t>https://example.com/link-entfernt</t>
        </is>
      </c>
      <c r="L13" s="55" t="n">
        <v>45191</v>
      </c>
      <c r="M13" s="55" t="n">
        <v>45191</v>
      </c>
      <c r="N13" s="39" t="inlineStr">
        <is>
          <t>erledigt</t>
        </is>
      </c>
      <c r="O13" s="57" t="n"/>
    </row>
    <row r="14" hidden="1">
      <c r="B14" s="64" t="inlineStr">
        <is>
          <t>Microphone</t>
        </is>
      </c>
      <c r="C14" s="65" t="inlineStr">
        <is>
          <t>DJI</t>
        </is>
      </c>
      <c r="D14" s="65" t="n"/>
      <c r="E14" s="71" t="n"/>
      <c r="F14" s="66" t="n">
        <v>329</v>
      </c>
      <c r="G14" s="96">
        <f>Tabelle256[[#This Row],[Preis (Brutto)]]/119*100</f>
        <v/>
      </c>
      <c r="H14" s="67">
        <f>F14-Tabelle256[[#This Row],[Preis (Netto)]]</f>
        <v/>
      </c>
      <c r="I14" s="64" t="n">
        <v>1</v>
      </c>
      <c r="J14" s="97">
        <f>F14*I14</f>
        <v/>
      </c>
      <c r="K14" s="69" t="n"/>
      <c r="L14" s="70" t="n">
        <v>45186</v>
      </c>
      <c r="M14" s="70" t="n">
        <v>45187</v>
      </c>
      <c r="N14" s="65" t="inlineStr">
        <is>
          <t>erledigt</t>
        </is>
      </c>
      <c r="O14" s="71" t="n"/>
    </row>
    <row r="15">
      <c r="B15" s="4" t="inlineStr">
        <is>
          <t>Thunderbolt Kabel</t>
        </is>
      </c>
      <c r="C15" s="4" t="n"/>
      <c r="D15" s="4" t="n"/>
      <c r="E15" s="111" t="n"/>
      <c r="F15" s="112" t="n"/>
      <c r="G15" s="113" t="n"/>
      <c r="H15" s="112" t="n"/>
      <c r="I15" s="4" t="n">
        <v>12</v>
      </c>
      <c r="J15" s="114" t="n"/>
      <c r="K15" s="115" t="n"/>
      <c r="L15" s="94" t="n"/>
      <c r="M15" s="8" t="n"/>
      <c r="N15" s="4" t="n"/>
      <c r="O15" s="4" t="n"/>
      <c r="P15" s="4" t="n"/>
    </row>
    <row r="16">
      <c r="B16" s="4" t="n"/>
      <c r="C16" s="4" t="n"/>
      <c r="D16" s="4" t="n"/>
      <c r="E16" s="111" t="n"/>
      <c r="F16" s="112" t="n"/>
      <c r="G16" s="113" t="n"/>
      <c r="H16" s="112" t="n"/>
      <c r="I16" s="4" t="n"/>
      <c r="J16" s="114" t="n"/>
      <c r="K16" s="115" t="n"/>
      <c r="L16" s="94" t="n"/>
      <c r="M16" s="8" t="n"/>
      <c r="N16" s="4" t="n"/>
      <c r="O16" s="4" t="n"/>
      <c r="P16" s="4" t="n"/>
    </row>
    <row r="17">
      <c r="B17" s="4" t="n"/>
      <c r="C17" s="4" t="n"/>
      <c r="D17" s="4" t="n"/>
      <c r="E17" s="4" t="n"/>
      <c r="F17" s="112" t="n"/>
      <c r="G17" s="113" t="n"/>
      <c r="H17" s="112" t="n"/>
      <c r="I17" s="4" t="n"/>
      <c r="J17" s="114" t="n"/>
      <c r="K17" s="115" t="n"/>
      <c r="L17" s="94" t="n"/>
      <c r="M17" s="8" t="n"/>
      <c r="N17" s="4" t="n"/>
      <c r="O17" s="4" t="n"/>
      <c r="P17" s="4" t="n"/>
    </row>
    <row r="18">
      <c r="B18" s="4" t="n"/>
      <c r="C18" s="4" t="n"/>
      <c r="D18" s="4" t="n"/>
      <c r="E18" s="4" t="n"/>
      <c r="F18" s="112" t="n"/>
      <c r="G18" s="113" t="n"/>
      <c r="H18" s="112" t="n"/>
      <c r="I18" s="4" t="n"/>
      <c r="J18" s="114" t="n"/>
      <c r="K18" s="117" t="n"/>
      <c r="L18" s="94" t="n"/>
      <c r="M18" s="8" t="n"/>
      <c r="N18" s="4" t="n"/>
      <c r="O18" s="4" t="n"/>
      <c r="P18" s="4" t="n"/>
    </row>
    <row r="19">
      <c r="B19" s="4" t="n"/>
      <c r="C19" s="4" t="n"/>
      <c r="D19" s="4" t="n"/>
      <c r="E19" s="4" t="n"/>
      <c r="F19" s="112" t="n"/>
      <c r="G19" s="113" t="n"/>
      <c r="H19" s="112" t="n"/>
      <c r="I19" s="4" t="n"/>
      <c r="J19" s="114" t="n"/>
      <c r="K19" s="117" t="n"/>
      <c r="L19" s="94" t="n"/>
      <c r="M19" s="8" t="n"/>
      <c r="N19" s="4" t="n"/>
      <c r="O19" s="4" t="n"/>
      <c r="P19" s="4" t="n"/>
    </row>
    <row r="20">
      <c r="B20" s="4" t="n"/>
      <c r="C20" s="4" t="n"/>
      <c r="D20" s="4" t="n"/>
      <c r="E20" s="4" t="n"/>
      <c r="F20" s="112" t="n"/>
      <c r="G20" s="113" t="n"/>
      <c r="H20" s="112" t="n"/>
      <c r="I20" s="4" t="n"/>
      <c r="J20" s="114" t="n"/>
      <c r="K20" s="117" t="n"/>
      <c r="L20" s="94" t="n"/>
      <c r="M20" s="8" t="n"/>
      <c r="N20" s="4" t="n"/>
      <c r="O20" s="4" t="n"/>
      <c r="P20" s="4" t="n"/>
    </row>
    <row r="21"/>
    <row r="22">
      <c r="G22" s="75" t="n"/>
    </row>
  </sheetData>
  <dataValidations count="1">
    <dataValidation sqref="N6:N20" showDropDown="0" showInputMessage="1" showErrorMessage="1" allowBlank="1" type="list">
      <formula1>"offen, in Arbeit, erledigt"</formula1>
    </dataValidation>
  </dataValidation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="88" workbookViewId="0">
      <selection activeCell="B21" sqref="B21"/>
    </sheetView>
  </sheetViews>
  <sheetFormatPr baseColWidth="10" defaultColWidth="8.796875" defaultRowHeight="15.6"/>
  <cols>
    <col width="15.69921875" customWidth="1" min="1" max="1"/>
    <col width="17.69921875" customWidth="1" min="2" max="2"/>
    <col width="17.796875" customWidth="1" min="3" max="3"/>
    <col width="19.19921875" bestFit="1" customWidth="1" min="4" max="4"/>
    <col width="19.19921875" customWidth="1" min="5" max="5"/>
    <col width="18.796875" customWidth="1" min="6" max="6"/>
    <col width="18" customWidth="1" min="7" max="8"/>
    <col width="11.19921875" customWidth="1" min="9" max="9"/>
    <col width="12.69921875" customWidth="1" min="10" max="10"/>
    <col width="34.19921875" customWidth="1" style="51" min="11" max="11"/>
    <col width="23.69921875" customWidth="1" style="51" min="12" max="12"/>
    <col width="18.69921875" customWidth="1" style="51" min="13" max="13"/>
    <col width="10.69921875" customWidth="1" min="14" max="14"/>
    <col width="37.19921875" bestFit="1" customWidth="1" min="15" max="15"/>
    <col width="16.796875" customWidth="1" min="16" max="16"/>
  </cols>
  <sheetData>
    <row r="1" ht="61.2" customHeight="1">
      <c r="B1" s="38" t="inlineStr">
        <is>
          <t>Bedarfsanalyse Hardware 2024</t>
        </is>
      </c>
    </row>
    <row r="2"/>
    <row r="3"/>
    <row r="4"/>
    <row r="5" ht="21" customHeight="1">
      <c r="B5" s="109" t="inlineStr">
        <is>
          <t>Typ</t>
        </is>
      </c>
      <c r="C5" s="109" t="inlineStr">
        <is>
          <t>Hersteller</t>
        </is>
      </c>
      <c r="D5" s="109" t="inlineStr">
        <is>
          <t>Modell</t>
        </is>
      </c>
      <c r="E5" s="109" t="inlineStr">
        <is>
          <t>Rabatt Amazon</t>
        </is>
      </c>
      <c r="F5" s="109" t="inlineStr">
        <is>
          <t>Preis (Brutto)</t>
        </is>
      </c>
      <c r="G5" s="109" t="inlineStr">
        <is>
          <t>Preis (Netto)</t>
        </is>
      </c>
      <c r="H5" s="109" t="inlineStr">
        <is>
          <t>MWST (19%)</t>
        </is>
      </c>
      <c r="I5" s="109" t="inlineStr">
        <is>
          <t>Anzahl</t>
        </is>
      </c>
      <c r="J5" s="109" t="inlineStr">
        <is>
          <t>Summe</t>
        </is>
      </c>
      <c r="K5" s="110" t="inlineStr">
        <is>
          <t>Link</t>
        </is>
      </c>
      <c r="L5" s="110" t="inlineStr">
        <is>
          <t>Datum Bestellung</t>
        </is>
      </c>
      <c r="M5" s="110" t="inlineStr">
        <is>
          <t>Datum erhalt</t>
        </is>
      </c>
      <c r="N5" s="109" t="inlineStr">
        <is>
          <t>Status</t>
        </is>
      </c>
      <c r="O5" s="109" t="inlineStr">
        <is>
          <t>Kommentar</t>
        </is>
      </c>
      <c r="P5" s="110" t="inlineStr">
        <is>
          <t>Name</t>
        </is>
      </c>
    </row>
    <row r="6" ht="46.8" customHeight="1">
      <c r="B6" s="4" t="inlineStr">
        <is>
          <t>Notebook</t>
        </is>
      </c>
      <c r="C6" s="4" t="inlineStr">
        <is>
          <t>Huawei</t>
        </is>
      </c>
      <c r="D6" s="4" t="inlineStr">
        <is>
          <t>MateBook 16s</t>
        </is>
      </c>
      <c r="E6" s="111" t="n"/>
      <c r="F6" s="112" t="n">
        <v>1299</v>
      </c>
      <c r="G6" s="113">
        <f>Tabelle25[[#This Row],[Preis (Brutto)]]/119*100</f>
        <v/>
      </c>
      <c r="H6" s="112">
        <f>F6-Tabelle25[[#This Row],[Preis (Netto)]]</f>
        <v/>
      </c>
      <c r="I6" s="4" t="n">
        <v>2</v>
      </c>
      <c r="J6" s="114">
        <f>F6*I6</f>
        <v/>
      </c>
      <c r="K6" s="115" t="inlineStr">
        <is>
          <t>https://example.com/link-entfernt</t>
        </is>
      </c>
      <c r="L6" s="116" t="n"/>
      <c r="M6" s="117" t="n"/>
      <c r="N6" s="4" t="inlineStr">
        <is>
          <t>offen</t>
        </is>
      </c>
      <c r="O6" s="8" t="inlineStr">
        <is>
          <t>Zu jedem Notebook gibt es noch ein Tablet als Geschenk dazu . Huawei Matepad 11,5 Zoll im Wert von 229,00 €</t>
        </is>
      </c>
      <c r="P6" s="4" t="n"/>
    </row>
    <row r="7" hidden="1" ht="31.2" customHeight="1">
      <c r="B7" s="98" t="inlineStr">
        <is>
          <t>Maus</t>
        </is>
      </c>
      <c r="C7" s="99" t="inlineStr">
        <is>
          <t>Logitech</t>
        </is>
      </c>
      <c r="D7" s="99" t="inlineStr">
        <is>
          <t>MX Master 2S</t>
        </is>
      </c>
      <c r="E7" s="100" t="n"/>
      <c r="F7" s="101" t="n">
        <v>67</v>
      </c>
      <c r="G7" s="102">
        <f>Tabelle25[[#This Row],[Preis (Brutto)]]/119*100</f>
        <v/>
      </c>
      <c r="H7" s="103">
        <f>F7-Tabelle25[[#This Row],[Preis (Netto)]]</f>
        <v/>
      </c>
      <c r="I7" s="98" t="n">
        <v>4</v>
      </c>
      <c r="J7" s="104">
        <f>F7*I7</f>
        <v/>
      </c>
      <c r="K7" s="105" t="n"/>
      <c r="L7" s="106" t="n"/>
      <c r="M7" s="106" t="n">
        <v>45238</v>
      </c>
      <c r="N7" s="107" t="inlineStr">
        <is>
          <t>erledigt</t>
        </is>
      </c>
      <c r="O7" s="108" t="inlineStr">
        <is>
          <t xml:space="preserve">In Klärung: Soll an jedem Arbeitsplatz die gleiche Maus verwendet werden? </t>
        </is>
      </c>
    </row>
    <row r="8" hidden="1">
      <c r="B8" s="47" t="inlineStr">
        <is>
          <t>Webcam</t>
        </is>
      </c>
      <c r="C8" s="39" t="inlineStr">
        <is>
          <t>Logitech</t>
        </is>
      </c>
      <c r="D8" s="39" t="inlineStr">
        <is>
          <t>BRIO 4k STREAM</t>
        </is>
      </c>
      <c r="E8" s="57" t="n"/>
      <c r="F8" s="49" t="n">
        <v>150</v>
      </c>
      <c r="G8" s="73">
        <f>Tabelle25[[#This Row],[Preis (Brutto)]]/119*100</f>
        <v/>
      </c>
      <c r="H8" s="41">
        <f>F8-Tabelle25[[#This Row],[Preis (Netto)]]</f>
        <v/>
      </c>
      <c r="I8" s="47" t="n">
        <v>8</v>
      </c>
      <c r="J8" s="45">
        <f>F8*I8</f>
        <v/>
      </c>
      <c r="K8" s="40" t="n"/>
      <c r="L8" s="55" t="n">
        <v>45236</v>
      </c>
      <c r="M8" s="55" t="n">
        <v>45238</v>
      </c>
      <c r="N8" s="39" t="inlineStr">
        <is>
          <t>erledigt</t>
        </is>
      </c>
      <c r="O8" s="57" t="n"/>
    </row>
    <row r="9" hidden="1" ht="62.4" customHeight="1">
      <c r="B9" s="47" t="inlineStr">
        <is>
          <t>Rechner</t>
        </is>
      </c>
      <c r="C9" s="39" t="inlineStr">
        <is>
          <t>Apple</t>
        </is>
      </c>
      <c r="D9" s="39" t="inlineStr">
        <is>
          <t>Studio</t>
        </is>
      </c>
      <c r="E9" s="57" t="n"/>
      <c r="F9" s="49" t="n">
        <v>4799</v>
      </c>
      <c r="G9" s="73">
        <f>Tabelle25[[#This Row],[Preis (Brutto)]]/119*100</f>
        <v/>
      </c>
      <c r="H9" s="41">
        <f>F9-Tabelle25[[#This Row],[Preis (Netto)]]</f>
        <v/>
      </c>
      <c r="I9" s="47" t="n">
        <v>1</v>
      </c>
      <c r="J9" s="74">
        <f>F9*I9</f>
        <v/>
      </c>
      <c r="K9" s="50" t="inlineStr">
        <is>
          <t>https://example.com/link-entfernt</t>
        </is>
      </c>
      <c r="L9" s="55" t="n">
        <v>45191</v>
      </c>
      <c r="M9" s="55" t="n">
        <v>45191</v>
      </c>
      <c r="N9" s="39" t="inlineStr">
        <is>
          <t>erledigt</t>
        </is>
      </c>
      <c r="O9" s="56" t="inlineStr">
        <is>
          <t>Konfiguration: M2 Ultra Chip, Rest Basis
+ Apple Care</t>
        </is>
      </c>
    </row>
    <row r="10" hidden="1">
      <c r="B10" s="47" t="inlineStr">
        <is>
          <t>Kopfhörer</t>
        </is>
      </c>
      <c r="C10" s="39" t="inlineStr">
        <is>
          <t>Apple</t>
        </is>
      </c>
      <c r="D10" s="39" t="inlineStr">
        <is>
          <t xml:space="preserve">Airpods Pro 2 </t>
        </is>
      </c>
      <c r="E10" s="57" t="n"/>
      <c r="F10" s="49" t="n">
        <v>279</v>
      </c>
      <c r="G10" s="73">
        <f>Tabelle25[[#This Row],[Preis (Brutto)]]/119*100</f>
        <v/>
      </c>
      <c r="H10" s="41">
        <f>F10-Tabelle25[[#This Row],[Preis (Netto)]]</f>
        <v/>
      </c>
      <c r="I10" s="47" t="n">
        <v>5</v>
      </c>
      <c r="J10" s="74">
        <f>F10*I10</f>
        <v/>
      </c>
      <c r="K10" s="40" t="n"/>
      <c r="L10" s="55" t="n">
        <v>45191</v>
      </c>
      <c r="M10" s="55" t="n">
        <v>45191</v>
      </c>
      <c r="N10" s="39" t="inlineStr">
        <is>
          <t>erledigt</t>
        </is>
      </c>
      <c r="O10" s="57" t="n"/>
    </row>
    <row r="11" hidden="1">
      <c r="B11" s="47" t="inlineStr">
        <is>
          <t>Smartwatch</t>
        </is>
      </c>
      <c r="C11" s="39" t="inlineStr">
        <is>
          <t>Apple</t>
        </is>
      </c>
      <c r="D11" s="39" t="inlineStr">
        <is>
          <t>Watch Ultra 2</t>
        </is>
      </c>
      <c r="E11" s="57" t="n"/>
      <c r="F11" s="49" t="n">
        <v>899</v>
      </c>
      <c r="G11" s="73">
        <f>Tabelle25[[#This Row],[Preis (Brutto)]]/119*100</f>
        <v/>
      </c>
      <c r="H11" s="41">
        <f>F11-Tabelle25[[#This Row],[Preis (Netto)]]</f>
        <v/>
      </c>
      <c r="I11" s="47" t="n">
        <v>1</v>
      </c>
      <c r="J11" s="74">
        <f>F11*I11</f>
        <v/>
      </c>
      <c r="K11" s="40" t="n"/>
      <c r="L11" s="55" t="n">
        <v>45191</v>
      </c>
      <c r="M11" s="55" t="n">
        <v>45191</v>
      </c>
      <c r="N11" s="39" t="inlineStr">
        <is>
          <t>erledigt</t>
        </is>
      </c>
      <c r="O11" s="57" t="n"/>
    </row>
    <row r="12" hidden="1">
      <c r="B12" s="47" t="inlineStr">
        <is>
          <t>Smartphone</t>
        </is>
      </c>
      <c r="C12" s="39" t="inlineStr">
        <is>
          <t>Apple</t>
        </is>
      </c>
      <c r="D12" s="39" t="inlineStr">
        <is>
          <t>Iphone 15 Pro Max</t>
        </is>
      </c>
      <c r="E12" s="57" t="n"/>
      <c r="F12" s="49" t="n">
        <v>859.95</v>
      </c>
      <c r="G12" s="73">
        <f>Tabelle25[[#This Row],[Preis (Brutto)]]/119*100</f>
        <v/>
      </c>
      <c r="H12" s="41">
        <f>F12-Tabelle25[[#This Row],[Preis (Netto)]]</f>
        <v/>
      </c>
      <c r="I12" s="47" t="n">
        <v>2</v>
      </c>
      <c r="J12" s="74">
        <f>F12*I12</f>
        <v/>
      </c>
      <c r="K12" s="40" t="n"/>
      <c r="L12" s="55" t="n">
        <v>45189</v>
      </c>
      <c r="M12" s="55" t="n"/>
      <c r="N12" s="39" t="inlineStr">
        <is>
          <t>erledigt</t>
        </is>
      </c>
      <c r="O12" s="57" t="inlineStr">
        <is>
          <t>Lieferung ausstehend</t>
        </is>
      </c>
    </row>
    <row r="13" hidden="1" ht="46.8" customHeight="1">
      <c r="B13" s="47" t="inlineStr">
        <is>
          <t>Tablet</t>
        </is>
      </c>
      <c r="C13" s="39" t="inlineStr">
        <is>
          <t>Apple</t>
        </is>
      </c>
      <c r="D13" s="39" t="inlineStr">
        <is>
          <t>Ipad 11 Zoll 128 gb</t>
        </is>
      </c>
      <c r="E13" s="57" t="n"/>
      <c r="F13" s="49" t="n">
        <v>1049</v>
      </c>
      <c r="G13" s="73">
        <f>Tabelle25[[#This Row],[Preis (Brutto)]]/119*100</f>
        <v/>
      </c>
      <c r="H13" s="41">
        <f>F13-Tabelle25[[#This Row],[Preis (Netto)]]</f>
        <v/>
      </c>
      <c r="I13" s="47" t="n">
        <v>2</v>
      </c>
      <c r="J13" s="74">
        <f>F13*I13</f>
        <v/>
      </c>
      <c r="K13" s="42" t="inlineStr">
        <is>
          <t>https://example.com/link-entfernt</t>
        </is>
      </c>
      <c r="L13" s="55" t="n">
        <v>45191</v>
      </c>
      <c r="M13" s="55" t="n">
        <v>45191</v>
      </c>
      <c r="N13" s="39" t="inlineStr">
        <is>
          <t>erledigt</t>
        </is>
      </c>
      <c r="O13" s="57" t="n"/>
    </row>
    <row r="14" hidden="1">
      <c r="B14" s="64" t="inlineStr">
        <is>
          <t>Microphone</t>
        </is>
      </c>
      <c r="C14" s="65" t="inlineStr">
        <is>
          <t>DJI</t>
        </is>
      </c>
      <c r="D14" s="65" t="n"/>
      <c r="E14" s="71" t="n"/>
      <c r="F14" s="66" t="n">
        <v>329</v>
      </c>
      <c r="G14" s="96">
        <f>Tabelle25[[#This Row],[Preis (Brutto)]]/119*100</f>
        <v/>
      </c>
      <c r="H14" s="67">
        <f>F14-Tabelle25[[#This Row],[Preis (Netto)]]</f>
        <v/>
      </c>
      <c r="I14" s="64" t="n">
        <v>1</v>
      </c>
      <c r="J14" s="97">
        <f>F14*I14</f>
        <v/>
      </c>
      <c r="K14" s="69" t="n"/>
      <c r="L14" s="70" t="n">
        <v>45186</v>
      </c>
      <c r="M14" s="70" t="n">
        <v>45187</v>
      </c>
      <c r="N14" s="65" t="inlineStr">
        <is>
          <t>erledigt</t>
        </is>
      </c>
      <c r="O14" s="71" t="n"/>
    </row>
    <row r="15" ht="78" customHeight="1">
      <c r="B15" s="4" t="inlineStr">
        <is>
          <t>Kopfhörer</t>
        </is>
      </c>
      <c r="C15" s="4" t="inlineStr">
        <is>
          <t>Bose</t>
        </is>
      </c>
      <c r="D15" s="4" t="inlineStr">
        <is>
          <t>QuietComfort Ultra</t>
        </is>
      </c>
      <c r="E15" s="111" t="n">
        <v>309</v>
      </c>
      <c r="F15" s="112" t="n">
        <v>279.99</v>
      </c>
      <c r="G15" s="113">
        <f>Tabelle25[[#This Row],[Preis (Brutto)]]/119*100</f>
        <v/>
      </c>
      <c r="H15" s="112">
        <f>F15-Tabelle25[[#This Row],[Preis (Netto)]]</f>
        <v/>
      </c>
      <c r="I15" s="4" t="n">
        <v>2</v>
      </c>
      <c r="J15" s="114">
        <f>F15*I15</f>
        <v/>
      </c>
      <c r="K15" s="115" t="inlineStr">
        <is>
          <t>https://example.com/link-entfernt</t>
        </is>
      </c>
      <c r="L15" s="94" t="n"/>
      <c r="M15" s="8" t="n"/>
      <c r="N15" s="4" t="inlineStr">
        <is>
          <t>offen</t>
        </is>
      </c>
      <c r="O15" s="4" t="inlineStr">
        <is>
          <t>Eventuell auch 3 Geräte</t>
        </is>
      </c>
      <c r="P15" s="4" t="n"/>
    </row>
    <row r="16">
      <c r="B16" s="4" t="inlineStr">
        <is>
          <t>Kopfhörer</t>
        </is>
      </c>
      <c r="C16" s="4" t="inlineStr">
        <is>
          <t>Bose</t>
        </is>
      </c>
      <c r="D16" s="4" t="n"/>
      <c r="E16" s="111" t="n"/>
      <c r="F16" s="112" t="n"/>
      <c r="G16" s="113" t="n"/>
      <c r="H16" s="112" t="n"/>
      <c r="I16" s="4" t="n"/>
      <c r="J16" s="114" t="n"/>
      <c r="K16" s="115" t="n"/>
      <c r="L16" s="94" t="n"/>
      <c r="M16" s="8" t="n"/>
      <c r="N16" s="4" t="n"/>
      <c r="O16" s="4" t="n"/>
      <c r="P16" s="4" t="n"/>
    </row>
    <row r="17" ht="62.4" customHeight="1">
      <c r="B17" s="4" t="inlineStr">
        <is>
          <t>Tastatur</t>
        </is>
      </c>
      <c r="C17" s="4" t="inlineStr">
        <is>
          <t>Logitech</t>
        </is>
      </c>
      <c r="D17" s="4" t="inlineStr">
        <is>
          <t>MX Keys S</t>
        </is>
      </c>
      <c r="E17" s="4" t="inlineStr">
        <is>
          <t>UVP 119</t>
        </is>
      </c>
      <c r="F17" s="112" t="n">
        <v>84</v>
      </c>
      <c r="G17" s="113">
        <f>Tabelle25[[#This Row],[Preis (Brutto)]]/119*100</f>
        <v/>
      </c>
      <c r="H17" s="112">
        <f>F17-Tabelle25[[#This Row],[Preis (Netto)]]</f>
        <v/>
      </c>
      <c r="I17" s="4" t="n">
        <v>7</v>
      </c>
      <c r="J17" s="114">
        <f>F17*I17</f>
        <v/>
      </c>
      <c r="K17" s="115" t="inlineStr">
        <is>
          <t>https://example.com/link-entfernt</t>
        </is>
      </c>
      <c r="L17" s="94" t="n"/>
      <c r="M17" s="8" t="n"/>
      <c r="N17" s="4" t="inlineStr">
        <is>
          <t>offen</t>
        </is>
      </c>
      <c r="O17" s="4" t="n"/>
      <c r="P17" s="4" t="n"/>
    </row>
    <row r="18" ht="93.59999999999999" customHeight="1">
      <c r="B18" s="4" t="inlineStr">
        <is>
          <t>Tastatur</t>
        </is>
      </c>
      <c r="C18" s="4" t="inlineStr">
        <is>
          <t>Logitech</t>
        </is>
      </c>
      <c r="D18" s="4" t="inlineStr">
        <is>
          <t>MX Keys Mini</t>
        </is>
      </c>
      <c r="E18" s="4" t="inlineStr">
        <is>
          <t>UVP 119</t>
        </is>
      </c>
      <c r="F18" s="112" t="n">
        <v>64.98999999999999</v>
      </c>
      <c r="G18" s="113">
        <f>Tabelle25[[#This Row],[Preis (Brutto)]]/119*100</f>
        <v/>
      </c>
      <c r="H18" s="112">
        <f>F18-Tabelle25[[#This Row],[Preis (Netto)]]</f>
        <v/>
      </c>
      <c r="I18" s="4" t="n">
        <v>2</v>
      </c>
      <c r="J18" s="114">
        <f>F18*I18</f>
        <v/>
      </c>
      <c r="K18" s="117" t="inlineStr">
        <is>
          <t>https://example.com/link-entfernt</t>
        </is>
      </c>
      <c r="L18" s="94" t="n"/>
      <c r="M18" s="8" t="n"/>
      <c r="N18" s="4" t="inlineStr">
        <is>
          <t>offen</t>
        </is>
      </c>
      <c r="O18" s="4" t="n"/>
      <c r="P18" s="4" t="n"/>
    </row>
    <row r="19">
      <c r="B19" s="4" t="inlineStr">
        <is>
          <t>Maus</t>
        </is>
      </c>
      <c r="C19" s="4" t="inlineStr">
        <is>
          <t>Logitech</t>
        </is>
      </c>
      <c r="D19" s="4" t="inlineStr">
        <is>
          <t>MX Vertical</t>
        </is>
      </c>
      <c r="E19" s="4" t="inlineStr">
        <is>
          <t>UVP 119</t>
        </is>
      </c>
      <c r="F19" s="112" t="n">
        <v>79</v>
      </c>
      <c r="G19" s="113">
        <f>F19/119*100</f>
        <v/>
      </c>
      <c r="H19" s="112">
        <f>F19-G19</f>
        <v/>
      </c>
      <c r="I19" s="4" t="n">
        <v>1</v>
      </c>
      <c r="J19" s="114">
        <f>F19*I19</f>
        <v/>
      </c>
      <c r="K19" s="117" t="n"/>
      <c r="L19" s="94" t="n"/>
      <c r="M19" s="8" t="n"/>
      <c r="N19" s="4" t="inlineStr">
        <is>
          <t>offen</t>
        </is>
      </c>
      <c r="O19" s="4" t="n"/>
      <c r="P19" s="4" t="n"/>
    </row>
    <row r="20" ht="312" customHeight="1">
      <c r="B20" s="4" t="inlineStr">
        <is>
          <t>Maus</t>
        </is>
      </c>
      <c r="C20" s="4" t="inlineStr">
        <is>
          <t>Logitech</t>
        </is>
      </c>
      <c r="D20" s="4" t="inlineStr">
        <is>
          <t>MX 3S</t>
        </is>
      </c>
      <c r="E20" s="4" t="inlineStr">
        <is>
          <t>UVP 129</t>
        </is>
      </c>
      <c r="F20" s="112" t="n">
        <v>89.98999999999999</v>
      </c>
      <c r="G20" s="113">
        <f>F20/119*100</f>
        <v/>
      </c>
      <c r="H20" s="112">
        <f>F20-G20</f>
        <v/>
      </c>
      <c r="I20" s="4" t="n">
        <v>2</v>
      </c>
      <c r="J20" s="114">
        <f>F20*I20</f>
        <v/>
      </c>
      <c r="K20" s="117" t="inlineStr">
        <is>
          <t>https://example.com/link-entfernt</t>
        </is>
      </c>
      <c r="L20" s="94" t="n"/>
      <c r="M20" s="8" t="n"/>
      <c r="N20" s="4" t="inlineStr">
        <is>
          <t>offen</t>
        </is>
      </c>
      <c r="O20" s="4" t="n"/>
      <c r="P20" s="4" t="n"/>
    </row>
    <row r="21"/>
    <row r="22">
      <c r="G22" s="75" t="n"/>
    </row>
  </sheetData>
  <dataValidations count="1">
    <dataValidation sqref="N6:N20" showDropDown="0" showInputMessage="1" showErrorMessage="1" allowBlank="1" type="list">
      <formula1>"offen, in Arbeit, erledigt"</formula1>
    </dataValidation>
  </dataValidation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topLeftCell="A8" zoomScale="88" workbookViewId="0">
      <selection activeCell="B17" sqref="B17"/>
    </sheetView>
  </sheetViews>
  <sheetFormatPr baseColWidth="10" defaultColWidth="8.796875" defaultRowHeight="15.6"/>
  <cols>
    <col width="15.69921875" customWidth="1" min="1" max="1"/>
    <col width="17.69921875" customWidth="1" min="2" max="2"/>
    <col width="17.796875" customWidth="1" min="3" max="3"/>
    <col width="19.19921875" bestFit="1" customWidth="1" min="4" max="4"/>
    <col width="19.19921875" customWidth="1" min="5" max="5"/>
    <col width="18.796875" customWidth="1" min="6" max="6"/>
    <col width="18" customWidth="1" min="7" max="8"/>
    <col width="11.19921875" customWidth="1" min="9" max="9"/>
    <col width="12.69921875" customWidth="1" min="10" max="10"/>
    <col width="34.19921875" customWidth="1" style="51" min="11" max="11"/>
    <col width="23.69921875" customWidth="1" style="51" min="12" max="12"/>
    <col width="18.69921875" customWidth="1" style="51" min="13" max="13"/>
    <col width="10.69921875" customWidth="1" min="14" max="14"/>
    <col width="37.19921875" bestFit="1" customWidth="1" min="15" max="15"/>
    <col width="16.796875" customWidth="1" min="16" max="16"/>
  </cols>
  <sheetData>
    <row r="1" ht="61.2" customHeight="1">
      <c r="B1" s="38" t="inlineStr">
        <is>
          <t>Bedarfsanalyse Hardware</t>
        </is>
      </c>
    </row>
    <row r="2"/>
    <row r="3">
      <c r="I3" t="inlineStr">
        <is>
          <t>Ziel: Ausstattung auf 12 Personen auslegen.</t>
        </is>
      </c>
    </row>
    <row r="4"/>
    <row r="5" ht="21" customHeight="1">
      <c r="B5" s="59" t="inlineStr">
        <is>
          <t>Typ</t>
        </is>
      </c>
      <c r="C5" s="60" t="inlineStr">
        <is>
          <t>Hersteller</t>
        </is>
      </c>
      <c r="D5" s="60" t="inlineStr">
        <is>
          <t>Modell</t>
        </is>
      </c>
      <c r="E5" s="60" t="inlineStr">
        <is>
          <t>Rabatt Amazon</t>
        </is>
      </c>
      <c r="F5" s="60" t="inlineStr">
        <is>
          <t>Preis (Brutto)</t>
        </is>
      </c>
      <c r="G5" s="61" t="inlineStr">
        <is>
          <t>Preis (Netto)</t>
        </is>
      </c>
      <c r="H5" s="61" t="inlineStr">
        <is>
          <t>MWST (19%)</t>
        </is>
      </c>
      <c r="I5" s="60" t="inlineStr">
        <is>
          <t>Anzahl</t>
        </is>
      </c>
      <c r="J5" s="60" t="inlineStr">
        <is>
          <t>Summe</t>
        </is>
      </c>
      <c r="K5" s="62" t="inlineStr">
        <is>
          <t>Link</t>
        </is>
      </c>
      <c r="L5" s="62" t="inlineStr">
        <is>
          <t>Datum Bestellung</t>
        </is>
      </c>
      <c r="M5" s="62" t="inlineStr">
        <is>
          <t>Datum erhalt</t>
        </is>
      </c>
      <c r="N5" s="60" t="inlineStr">
        <is>
          <t>Status</t>
        </is>
      </c>
      <c r="O5" s="63" t="inlineStr">
        <is>
          <t>Kommentar</t>
        </is>
      </c>
      <c r="P5" s="79" t="inlineStr">
        <is>
          <t>Name</t>
        </is>
      </c>
    </row>
    <row r="6" ht="93.59999999999999" customHeight="1">
      <c r="A6" t="inlineStr">
        <is>
          <t>Black Friday</t>
        </is>
      </c>
      <c r="B6" s="47" t="inlineStr">
        <is>
          <t>Notebook</t>
        </is>
      </c>
      <c r="C6" s="39" t="inlineStr">
        <is>
          <t>Huawei</t>
        </is>
      </c>
      <c r="D6" s="39" t="inlineStr">
        <is>
          <t>MateBook 16s</t>
        </is>
      </c>
      <c r="E6" s="83" t="n">
        <v>1399</v>
      </c>
      <c r="F6" s="49" t="n">
        <v>1399</v>
      </c>
      <c r="G6" s="73">
        <f>Tabelle2[[#This Row],[Preis (Brutto)]]/119*100</f>
        <v/>
      </c>
      <c r="H6" s="41">
        <f>F6-Tabelle2[[#This Row],[Preis (Netto)]]</f>
        <v/>
      </c>
      <c r="I6" s="47" t="n">
        <v>8</v>
      </c>
      <c r="J6" s="45">
        <f>F6*I6</f>
        <v/>
      </c>
      <c r="K6" s="50" t="inlineStr">
        <is>
          <t>https://example.com/link-entfernt</t>
        </is>
      </c>
      <c r="L6" s="52" t="n"/>
      <c r="M6" s="42" t="n"/>
      <c r="N6" s="39" t="inlineStr">
        <is>
          <t>offen</t>
        </is>
      </c>
      <c r="O6" s="56" t="inlineStr">
        <is>
          <t xml:space="preserve">Es werden min. 4 neue Notebooks benötigt.
Die Auwahl der Notebooks ist noch nicht getroffen und muss bis spätestens Mitte Oktober erfolgt sein. Bestellt soll die Hardware zu Black Friday werden. </t>
        </is>
      </c>
      <c r="P6" s="4" t="inlineStr">
        <is>
          <t>Viktor</t>
        </is>
      </c>
    </row>
    <row r="7" ht="140.4" customHeight="1">
      <c r="A7" t="inlineStr">
        <is>
          <t>Black Friday</t>
        </is>
      </c>
      <c r="B7" s="47" t="inlineStr">
        <is>
          <t>Docking Station</t>
        </is>
      </c>
      <c r="C7" s="39" t="inlineStr">
        <is>
          <t>ICYBOX</t>
        </is>
      </c>
      <c r="D7" s="40" t="inlineStr">
        <is>
          <t>ICY BOX USB-C Docking Station (14-in-1) für 3 Monitore (3x HDMI &amp; 3x DP)</t>
        </is>
      </c>
      <c r="E7" s="82" t="n">
        <v>204</v>
      </c>
      <c r="F7" s="49" t="n">
        <v>204</v>
      </c>
      <c r="G7" s="73">
        <f>Tabelle2[[#This Row],[Preis (Brutto)]]/119*100</f>
        <v/>
      </c>
      <c r="H7" s="41">
        <f>F7-Tabelle2[[#This Row],[Preis (Netto)]]</f>
        <v/>
      </c>
      <c r="I7" s="47" t="n">
        <v>8</v>
      </c>
      <c r="J7" s="45">
        <f>F7*I7</f>
        <v/>
      </c>
      <c r="K7" s="50" t="inlineStr">
        <is>
          <t>https://example.com/link-entfernt</t>
        </is>
      </c>
      <c r="L7" s="53" t="n"/>
      <c r="M7" s="50" t="n"/>
      <c r="N7" s="39" t="inlineStr">
        <is>
          <t>in Arbeit</t>
        </is>
      </c>
      <c r="O7" s="57" t="n"/>
      <c r="P7" s="4" t="inlineStr">
        <is>
          <t>Jonas</t>
        </is>
      </c>
    </row>
    <row r="8" ht="93.59999999999999" customHeight="1">
      <c r="A8" t="inlineStr">
        <is>
          <t>Black Friday</t>
        </is>
      </c>
      <c r="B8" s="47" t="inlineStr">
        <is>
          <t>Monitore</t>
        </is>
      </c>
      <c r="C8" s="39" t="inlineStr">
        <is>
          <t>Samsung</t>
        </is>
      </c>
      <c r="D8" s="40" t="inlineStr">
        <is>
          <t>LU28R554UQUXZG / U28R550UQP</t>
        </is>
      </c>
      <c r="E8" s="82" t="inlineStr">
        <is>
          <t xml:space="preserve">kein Rabatt </t>
        </is>
      </c>
      <c r="F8" s="49" t="n">
        <v>199</v>
      </c>
      <c r="G8" s="73">
        <f>Tabelle2[[#This Row],[Preis (Brutto)]]/119*100</f>
        <v/>
      </c>
      <c r="H8" s="41">
        <f>F8-Tabelle2[[#This Row],[Preis (Netto)]]</f>
        <v/>
      </c>
      <c r="I8" s="47" t="n">
        <v>3</v>
      </c>
      <c r="J8" s="45">
        <f>F8*I8</f>
        <v/>
      </c>
      <c r="K8" s="42" t="inlineStr">
        <is>
          <t>https://example.com/link-entfernt</t>
        </is>
      </c>
      <c r="L8" s="52" t="n"/>
      <c r="M8" s="42" t="n"/>
      <c r="N8" s="39" t="inlineStr">
        <is>
          <t>in Arbeit</t>
        </is>
      </c>
      <c r="O8" s="56" t="inlineStr">
        <is>
          <t>Ziel ist es auf jedem Arbeitsplatz 3 Monitore aufzustellen. Idealerweise das selbe Modell auf allen Arbeitsplätzen. 
Rabatt laut Amazon bei 31%</t>
        </is>
      </c>
      <c r="P8" s="4" t="inlineStr">
        <is>
          <t>Simon</t>
        </is>
      </c>
    </row>
    <row r="9" hidden="1" ht="31.2" customHeight="1">
      <c r="B9" s="48" t="inlineStr">
        <is>
          <t>Maus</t>
        </is>
      </c>
      <c r="C9" s="43" t="inlineStr">
        <is>
          <t>Logitech</t>
        </is>
      </c>
      <c r="D9" s="43" t="inlineStr">
        <is>
          <t>MX Master 2S</t>
        </is>
      </c>
      <c r="E9" s="81" t="n"/>
      <c r="F9" s="46" t="n">
        <v>67</v>
      </c>
      <c r="G9" s="73">
        <f>Tabelle2[[#This Row],[Preis (Brutto)]]/119*100</f>
        <v/>
      </c>
      <c r="H9" s="41">
        <f>F9-Tabelle2[[#This Row],[Preis (Netto)]]</f>
        <v/>
      </c>
      <c r="I9" s="48" t="n">
        <v>4</v>
      </c>
      <c r="J9" s="45">
        <f>F9*I9</f>
        <v/>
      </c>
      <c r="K9" s="44" t="n"/>
      <c r="L9" s="54" t="n"/>
      <c r="M9" s="54" t="n">
        <v>45238</v>
      </c>
      <c r="N9" s="39" t="inlineStr">
        <is>
          <t>erledigt</t>
        </is>
      </c>
      <c r="O9" s="58" t="inlineStr">
        <is>
          <t xml:space="preserve">In Klärung: Soll an jedem Arbeitsplatz die gleiche Maus verwendet werden? </t>
        </is>
      </c>
    </row>
    <row r="10" hidden="1">
      <c r="A10" t="inlineStr">
        <is>
          <t>Black Friday</t>
        </is>
      </c>
      <c r="B10" s="47" t="inlineStr">
        <is>
          <t>Webcam</t>
        </is>
      </c>
      <c r="C10" s="39" t="inlineStr">
        <is>
          <t>Logitech</t>
        </is>
      </c>
      <c r="D10" s="39" t="inlineStr">
        <is>
          <t>BRIO 4k STREAM</t>
        </is>
      </c>
      <c r="E10" s="57" t="n"/>
      <c r="F10" s="49" t="n">
        <v>150</v>
      </c>
      <c r="G10" s="73">
        <f>Tabelle2[[#This Row],[Preis (Brutto)]]/119*100</f>
        <v/>
      </c>
      <c r="H10" s="41">
        <f>F10-Tabelle2[[#This Row],[Preis (Netto)]]</f>
        <v/>
      </c>
      <c r="I10" s="47" t="n">
        <v>8</v>
      </c>
      <c r="J10" s="45">
        <f>F10*I10</f>
        <v/>
      </c>
      <c r="K10" s="40" t="n"/>
      <c r="L10" s="55" t="n">
        <v>45236</v>
      </c>
      <c r="M10" s="55" t="n">
        <v>45238</v>
      </c>
      <c r="N10" s="39" t="inlineStr">
        <is>
          <t>erledigt</t>
        </is>
      </c>
      <c r="O10" s="57" t="n"/>
    </row>
    <row r="11" hidden="1" ht="62.4" customHeight="1">
      <c r="B11" s="47" t="inlineStr">
        <is>
          <t>Rechner</t>
        </is>
      </c>
      <c r="C11" s="39" t="inlineStr">
        <is>
          <t>Apple</t>
        </is>
      </c>
      <c r="D11" s="39" t="inlineStr">
        <is>
          <t>Studio</t>
        </is>
      </c>
      <c r="E11" s="57" t="n"/>
      <c r="F11" s="49" t="n">
        <v>4799</v>
      </c>
      <c r="G11" s="73">
        <f>Tabelle2[[#This Row],[Preis (Brutto)]]/119*100</f>
        <v/>
      </c>
      <c r="H11" s="41">
        <f>F11-Tabelle2[[#This Row],[Preis (Netto)]]</f>
        <v/>
      </c>
      <c r="I11" s="47" t="n">
        <v>1</v>
      </c>
      <c r="J11" s="74">
        <f>F11*I11</f>
        <v/>
      </c>
      <c r="K11" s="50" t="inlineStr">
        <is>
          <t>https://example.com/link-entfernt</t>
        </is>
      </c>
      <c r="L11" s="55" t="n">
        <v>45191</v>
      </c>
      <c r="M11" s="55" t="n">
        <v>45191</v>
      </c>
      <c r="N11" s="39" t="inlineStr">
        <is>
          <t>erledigt</t>
        </is>
      </c>
      <c r="O11" s="56" t="inlineStr">
        <is>
          <t>Konfiguration: M2 Ultra Chip, Rest Basis
+ Apple Care</t>
        </is>
      </c>
    </row>
    <row r="12" hidden="1">
      <c r="B12" s="47" t="inlineStr">
        <is>
          <t>Kopfhörer</t>
        </is>
      </c>
      <c r="C12" s="39" t="inlineStr">
        <is>
          <t>Apple</t>
        </is>
      </c>
      <c r="D12" s="39" t="inlineStr">
        <is>
          <t xml:space="preserve">Airpods Pro 2 </t>
        </is>
      </c>
      <c r="E12" s="57" t="n"/>
      <c r="F12" s="49" t="n">
        <v>279</v>
      </c>
      <c r="G12" s="73">
        <f>Tabelle2[[#This Row],[Preis (Brutto)]]/119*100</f>
        <v/>
      </c>
      <c r="H12" s="41">
        <f>F12-Tabelle2[[#This Row],[Preis (Netto)]]</f>
        <v/>
      </c>
      <c r="I12" s="47" t="n">
        <v>5</v>
      </c>
      <c r="J12" s="74">
        <f>F12*I12</f>
        <v/>
      </c>
      <c r="K12" s="40" t="n"/>
      <c r="L12" s="55" t="n">
        <v>45191</v>
      </c>
      <c r="M12" s="55" t="n">
        <v>45191</v>
      </c>
      <c r="N12" s="39" t="inlineStr">
        <is>
          <t>erledigt</t>
        </is>
      </c>
      <c r="O12" s="57" t="n"/>
    </row>
    <row r="13" hidden="1">
      <c r="B13" s="47" t="inlineStr">
        <is>
          <t>Smartwatch</t>
        </is>
      </c>
      <c r="C13" s="39" t="inlineStr">
        <is>
          <t>Apple</t>
        </is>
      </c>
      <c r="D13" s="39" t="inlineStr">
        <is>
          <t>Watch Ultra 2</t>
        </is>
      </c>
      <c r="E13" s="57" t="n"/>
      <c r="F13" s="49" t="n">
        <v>899</v>
      </c>
      <c r="G13" s="73">
        <f>Tabelle2[[#This Row],[Preis (Brutto)]]/119*100</f>
        <v/>
      </c>
      <c r="H13" s="41">
        <f>F13-Tabelle2[[#This Row],[Preis (Netto)]]</f>
        <v/>
      </c>
      <c r="I13" s="47" t="n">
        <v>1</v>
      </c>
      <c r="J13" s="74">
        <f>F13*I13</f>
        <v/>
      </c>
      <c r="K13" s="40" t="n"/>
      <c r="L13" s="55" t="n">
        <v>45191</v>
      </c>
      <c r="M13" s="55" t="n">
        <v>45191</v>
      </c>
      <c r="N13" s="39" t="inlineStr">
        <is>
          <t>erledigt</t>
        </is>
      </c>
      <c r="O13" s="57" t="n"/>
    </row>
    <row r="14" hidden="1">
      <c r="B14" s="47" t="inlineStr">
        <is>
          <t>Smartphone</t>
        </is>
      </c>
      <c r="C14" s="39" t="inlineStr">
        <is>
          <t>Apple</t>
        </is>
      </c>
      <c r="D14" s="39" t="inlineStr">
        <is>
          <t>Iphone 15 Pro Max</t>
        </is>
      </c>
      <c r="E14" s="57" t="n"/>
      <c r="F14" s="49" t="n">
        <v>859.95</v>
      </c>
      <c r="G14" s="73">
        <f>Tabelle2[[#This Row],[Preis (Brutto)]]/119*100</f>
        <v/>
      </c>
      <c r="H14" s="41">
        <f>F14-Tabelle2[[#This Row],[Preis (Netto)]]</f>
        <v/>
      </c>
      <c r="I14" s="47" t="n">
        <v>2</v>
      </c>
      <c r="J14" s="74">
        <f>F14*I14</f>
        <v/>
      </c>
      <c r="K14" s="40" t="n"/>
      <c r="L14" s="55" t="n">
        <v>45189</v>
      </c>
      <c r="M14" s="55" t="n"/>
      <c r="N14" s="39" t="inlineStr">
        <is>
          <t>erledigt</t>
        </is>
      </c>
      <c r="O14" s="57" t="inlineStr">
        <is>
          <t>Lieferung ausstehend</t>
        </is>
      </c>
    </row>
    <row r="15" hidden="1" ht="46.8" customHeight="1">
      <c r="B15" s="47" t="inlineStr">
        <is>
          <t>Tablet</t>
        </is>
      </c>
      <c r="C15" s="39" t="inlineStr">
        <is>
          <t>Apple</t>
        </is>
      </c>
      <c r="D15" s="39" t="inlineStr">
        <is>
          <t>Ipad 11 Zoll 128 gb</t>
        </is>
      </c>
      <c r="E15" s="57" t="n"/>
      <c r="F15" s="49" t="n">
        <v>1049</v>
      </c>
      <c r="G15" s="73">
        <f>Tabelle2[[#This Row],[Preis (Brutto)]]/119*100</f>
        <v/>
      </c>
      <c r="H15" s="41">
        <f>F15-Tabelle2[[#This Row],[Preis (Netto)]]</f>
        <v/>
      </c>
      <c r="I15" s="47" t="n">
        <v>2</v>
      </c>
      <c r="J15" s="74">
        <f>F15*I15</f>
        <v/>
      </c>
      <c r="K15" s="42" t="inlineStr">
        <is>
          <t>https://example.com/link-entfernt</t>
        </is>
      </c>
      <c r="L15" s="55" t="n">
        <v>45191</v>
      </c>
      <c r="M15" s="55" t="n">
        <v>45191</v>
      </c>
      <c r="N15" s="39" t="inlineStr">
        <is>
          <t>erledigt</t>
        </is>
      </c>
      <c r="O15" s="57" t="n"/>
    </row>
    <row r="16" hidden="1">
      <c r="B16" s="47" t="inlineStr">
        <is>
          <t>Microphone</t>
        </is>
      </c>
      <c r="C16" s="39" t="inlineStr">
        <is>
          <t>DJI</t>
        </is>
      </c>
      <c r="D16" s="39" t="n"/>
      <c r="E16" s="57" t="n"/>
      <c r="F16" s="49" t="n">
        <v>329</v>
      </c>
      <c r="G16" s="73">
        <f>Tabelle2[[#This Row],[Preis (Brutto)]]/119*100</f>
        <v/>
      </c>
      <c r="H16" s="41">
        <f>F16-Tabelle2[[#This Row],[Preis (Netto)]]</f>
        <v/>
      </c>
      <c r="I16" s="47" t="n">
        <v>1</v>
      </c>
      <c r="J16" s="72">
        <f>F16*I16</f>
        <v/>
      </c>
      <c r="K16" s="40" t="n"/>
      <c r="L16" s="55" t="n">
        <v>45186</v>
      </c>
      <c r="M16" s="55" t="n">
        <v>45187</v>
      </c>
      <c r="N16" s="39" t="inlineStr">
        <is>
          <t>erledigt</t>
        </is>
      </c>
      <c r="O16" s="57" t="n"/>
    </row>
    <row r="17" ht="93.59999999999999" customHeight="1">
      <c r="A17" t="inlineStr">
        <is>
          <t>Black Friday</t>
        </is>
      </c>
      <c r="B17" s="47" t="inlineStr">
        <is>
          <t>Kopfhörer</t>
        </is>
      </c>
      <c r="C17" s="39" t="inlineStr">
        <is>
          <t>Bose</t>
        </is>
      </c>
      <c r="D17" s="39" t="inlineStr">
        <is>
          <t>QuietComfort Ultra</t>
        </is>
      </c>
      <c r="E17" s="83" t="inlineStr">
        <is>
          <t xml:space="preserve">kein Rabatt </t>
        </is>
      </c>
      <c r="F17" s="49" t="n">
        <v>398</v>
      </c>
      <c r="G17" s="73">
        <f>Tabelle2[[#This Row],[Preis (Brutto)]]/119*100</f>
        <v/>
      </c>
      <c r="H17" s="41">
        <f>F17-Tabelle2[[#This Row],[Preis (Netto)]]</f>
        <v/>
      </c>
      <c r="I17" s="47" t="n">
        <v>2</v>
      </c>
      <c r="J17" s="45">
        <f>F17*I17</f>
        <v/>
      </c>
      <c r="K17" s="50" t="inlineStr">
        <is>
          <t>https://example.com/link-entfernt</t>
        </is>
      </c>
      <c r="L17" s="55" t="n"/>
      <c r="M17" s="40" t="n"/>
      <c r="N17" s="39" t="inlineStr">
        <is>
          <t>in Arbeit</t>
        </is>
      </c>
      <c r="O17" s="57" t="n"/>
      <c r="P17" s="4" t="inlineStr">
        <is>
          <t>Ben</t>
        </is>
      </c>
    </row>
    <row r="18" ht="62.4" customHeight="1">
      <c r="B18" s="47" t="inlineStr">
        <is>
          <t>Werkzeug</t>
        </is>
      </c>
      <c r="C18" s="39" t="inlineStr">
        <is>
          <t>Bosch</t>
        </is>
      </c>
      <c r="D18" s="40" t="inlineStr">
        <is>
          <t>Bosch Professional AMPShare 18V Akku-Kombihammer GBH 18V-36, ohne Akku</t>
        </is>
      </c>
      <c r="E18" s="82" t="inlineStr">
        <is>
          <t>in Klärung</t>
        </is>
      </c>
      <c r="F18" s="49" t="n">
        <v>479</v>
      </c>
      <c r="G18" s="73">
        <f>Tabelle2[[#This Row],[Preis (Brutto)]]/119*100</f>
        <v/>
      </c>
      <c r="H18" s="41">
        <f>F18-Tabelle2[[#This Row],[Preis (Netto)]]</f>
        <v/>
      </c>
      <c r="I18" s="47" t="n">
        <v>1</v>
      </c>
      <c r="J18" s="45">
        <f>F18*I18</f>
        <v/>
      </c>
      <c r="K18" s="42" t="inlineStr">
        <is>
          <t>https://example.com/link-entfernt</t>
        </is>
      </c>
      <c r="L18" s="55" t="n"/>
      <c r="M18" s="40" t="n"/>
      <c r="N18" s="39" t="inlineStr">
        <is>
          <t>offen</t>
        </is>
      </c>
      <c r="O18" s="57" t="n"/>
      <c r="P18" s="4" t="inlineStr">
        <is>
          <t>Simon</t>
        </is>
      </c>
    </row>
    <row r="19" ht="46.8" customHeight="1">
      <c r="B19" s="47" t="inlineStr">
        <is>
          <t>Staubsauger</t>
        </is>
      </c>
      <c r="C19" s="39" t="inlineStr">
        <is>
          <t>Dyson</t>
        </is>
      </c>
      <c r="D19" s="40" t="inlineStr">
        <is>
          <t>Dyson V15 Detect Absolute Staubsauger Kabellos</t>
        </is>
      </c>
      <c r="E19" s="82" t="n">
        <v>849</v>
      </c>
      <c r="F19" s="49" t="n">
        <v>849</v>
      </c>
      <c r="G19" s="73">
        <f>Tabelle2[[#This Row],[Preis (Brutto)]]/119*100</f>
        <v/>
      </c>
      <c r="H19" s="41">
        <f>F19-Tabelle2[[#This Row],[Preis (Netto)]]</f>
        <v/>
      </c>
      <c r="I19" s="47" t="n">
        <v>1</v>
      </c>
      <c r="J19" s="45">
        <f>F19*I19</f>
        <v/>
      </c>
      <c r="K19" s="50" t="inlineStr">
        <is>
          <t>https://example.com/link-entfernt</t>
        </is>
      </c>
      <c r="L19" s="55" t="n"/>
      <c r="M19" s="40" t="n"/>
      <c r="N19" s="39" t="inlineStr">
        <is>
          <t>offen</t>
        </is>
      </c>
      <c r="O19" s="57" t="n"/>
      <c r="P19" s="4" t="inlineStr">
        <is>
          <t>Viktor</t>
        </is>
      </c>
    </row>
    <row r="20" ht="156" customHeight="1">
      <c r="B20" s="47" t="inlineStr">
        <is>
          <t>Staubsauger</t>
        </is>
      </c>
      <c r="C20" s="39" t="inlineStr">
        <is>
          <t>Xiaomi</t>
        </is>
      </c>
      <c r="D20" s="39" t="inlineStr">
        <is>
          <t>G10 Plus</t>
        </is>
      </c>
      <c r="E20" s="83" t="n">
        <v>259</v>
      </c>
      <c r="F20" s="49" t="n">
        <v>259</v>
      </c>
      <c r="G20" s="73">
        <f>Tabelle2[[#This Row],[Preis (Brutto)]]/119*100</f>
        <v/>
      </c>
      <c r="H20" s="41">
        <f>F20-Tabelle2[[#This Row],[Preis (Netto)]]</f>
        <v/>
      </c>
      <c r="I20" s="47" t="n">
        <v>1</v>
      </c>
      <c r="J20" s="45">
        <f>F20*I20</f>
        <v/>
      </c>
      <c r="K20" s="50" t="inlineStr">
        <is>
          <t>https://example.com/link-entfernt</t>
        </is>
      </c>
      <c r="L20" s="55" t="n"/>
      <c r="M20" s="40" t="n"/>
      <c r="N20" s="39" t="inlineStr">
        <is>
          <t>in Arbeit</t>
        </is>
      </c>
      <c r="O20" s="57" t="n"/>
      <c r="P20" s="4" t="inlineStr">
        <is>
          <t>Jonas</t>
        </is>
      </c>
    </row>
    <row r="21" ht="62.4" customHeight="1">
      <c r="B21" s="47" t="inlineStr">
        <is>
          <t>Rucksack</t>
        </is>
      </c>
      <c r="C21" s="39" t="inlineStr">
        <is>
          <t>Samsonite</t>
        </is>
      </c>
      <c r="D21" s="40" t="inlineStr">
        <is>
          <t>Samsonite Pro-DLX 5 - 17,3 Zoll</t>
        </is>
      </c>
      <c r="E21" s="82" t="inlineStr">
        <is>
          <t xml:space="preserve">kein Rabatt </t>
        </is>
      </c>
      <c r="F21" s="49" t="n">
        <v>280</v>
      </c>
      <c r="G21" s="73">
        <f>Tabelle2[[#This Row],[Preis (Brutto)]]/119*100</f>
        <v/>
      </c>
      <c r="H21" s="41">
        <f>F21-Tabelle2[[#This Row],[Preis (Netto)]]</f>
        <v/>
      </c>
      <c r="I21" s="47" t="n">
        <v>8</v>
      </c>
      <c r="J21" s="45">
        <f>F21*I21</f>
        <v/>
      </c>
      <c r="K21" s="50" t="inlineStr">
        <is>
          <t>https://example.com/link-entfernt</t>
        </is>
      </c>
      <c r="L21" s="55" t="n"/>
      <c r="M21" s="40" t="n"/>
      <c r="N21" s="39" t="inlineStr">
        <is>
          <t>in Arbeit</t>
        </is>
      </c>
      <c r="O21" s="57" t="n"/>
      <c r="P21" s="4" t="inlineStr">
        <is>
          <t>Ben</t>
        </is>
      </c>
    </row>
    <row r="22" ht="124.8" customHeight="1">
      <c r="B22" s="47" t="inlineStr">
        <is>
          <t>Tastatur</t>
        </is>
      </c>
      <c r="C22" s="39" t="inlineStr">
        <is>
          <t>Logitech</t>
        </is>
      </c>
      <c r="D22" s="39" t="inlineStr">
        <is>
          <t>MX Keys S</t>
        </is>
      </c>
      <c r="E22" s="57" t="inlineStr">
        <is>
          <t xml:space="preserve">kein Rabatt </t>
        </is>
      </c>
      <c r="F22" s="49" t="n">
        <v>99</v>
      </c>
      <c r="G22" s="73">
        <f>Tabelle2[[#This Row],[Preis (Brutto)]]/119*100</f>
        <v/>
      </c>
      <c r="H22" s="41">
        <f>F22-Tabelle2[[#This Row],[Preis (Netto)]]</f>
        <v/>
      </c>
      <c r="I22" s="47" t="n">
        <v>7</v>
      </c>
      <c r="J22" s="45">
        <f>F22*I22</f>
        <v/>
      </c>
      <c r="K22" s="50" t="inlineStr">
        <is>
          <t>https://example.com/link-entfernt</t>
        </is>
      </c>
      <c r="L22" s="55" t="n"/>
      <c r="M22" s="40" t="n"/>
      <c r="N22" s="39" t="inlineStr">
        <is>
          <t>offen</t>
        </is>
      </c>
      <c r="O22" s="57" t="n"/>
      <c r="P22" s="4" t="inlineStr">
        <is>
          <t>Jonas</t>
        </is>
      </c>
    </row>
    <row r="23" ht="124.8" customHeight="1">
      <c r="B23" s="47" t="inlineStr">
        <is>
          <t>Powerbank</t>
        </is>
      </c>
      <c r="C23" s="39" t="inlineStr">
        <is>
          <t>UGREEN</t>
        </is>
      </c>
      <c r="D23" s="40" t="inlineStr">
        <is>
          <t>Powerbank 145W 25000mAh</t>
        </is>
      </c>
      <c r="E23" s="57" t="inlineStr">
        <is>
          <t>Rabatt</t>
        </is>
      </c>
      <c r="F23" s="49" t="n">
        <v>89</v>
      </c>
      <c r="G23" s="73">
        <f>Tabelle2[[#This Row],[Preis (Brutto)]]/119*100</f>
        <v/>
      </c>
      <c r="H23" s="41">
        <f>F23-Tabelle2[[#This Row],[Preis (Netto)]]</f>
        <v/>
      </c>
      <c r="I23" s="47" t="n">
        <v>8</v>
      </c>
      <c r="J23" s="45">
        <f>F23*I23</f>
        <v/>
      </c>
      <c r="K23" s="50" t="inlineStr">
        <is>
          <t>https://example.com/link-entfernt</t>
        </is>
      </c>
      <c r="L23" s="55" t="n"/>
      <c r="M23" s="40" t="n"/>
      <c r="N23" s="39" t="inlineStr">
        <is>
          <t>in Arbeit</t>
        </is>
      </c>
      <c r="O23" s="57" t="n"/>
      <c r="P23" s="4" t="n"/>
    </row>
    <row r="24" ht="93.59999999999999" customHeight="1">
      <c r="B24" s="47" t="inlineStr">
        <is>
          <t>Tastatur</t>
        </is>
      </c>
      <c r="C24" s="39" t="inlineStr">
        <is>
          <t>Logitech</t>
        </is>
      </c>
      <c r="D24" s="65" t="inlineStr">
        <is>
          <t>MX Keys Mini</t>
        </is>
      </c>
      <c r="E24" s="71" t="inlineStr">
        <is>
          <t xml:space="preserve">kein Rabatt </t>
        </is>
      </c>
      <c r="F24" s="66" t="n">
        <v>82.90000000000001</v>
      </c>
      <c r="G24" s="73">
        <f>Tabelle2[[#This Row],[Preis (Brutto)]]/119*100</f>
        <v/>
      </c>
      <c r="H24" s="67">
        <f>F24-Tabelle2[[#This Row],[Preis (Netto)]]</f>
        <v/>
      </c>
      <c r="I24" s="64" t="n">
        <v>1</v>
      </c>
      <c r="J24" s="68">
        <f>F24*I24</f>
        <v/>
      </c>
      <c r="K24" s="80" t="inlineStr">
        <is>
          <t>https://example.com/link-entfernt</t>
        </is>
      </c>
      <c r="L24" s="70" t="n"/>
      <c r="M24" s="69" t="n"/>
      <c r="N24" s="65" t="inlineStr">
        <is>
          <t>offen</t>
        </is>
      </c>
      <c r="O24" s="71" t="n"/>
      <c r="P24" s="4" t="inlineStr">
        <is>
          <t>Jonas</t>
        </is>
      </c>
    </row>
    <row r="25"/>
    <row r="26"/>
    <row r="27"/>
    <row r="28"/>
    <row r="29"/>
    <row r="30"/>
    <row r="31"/>
    <row r="32"/>
    <row r="33">
      <c r="G33" s="75">
        <f>F14-G14</f>
        <v/>
      </c>
    </row>
  </sheetData>
  <dataValidations count="1">
    <dataValidation sqref="N6:N24" showDropDown="0" showInputMessage="1" showErrorMessage="1" allowBlank="1" type="list">
      <formula1>"offen, in Arbeit, erledigt"</formula1>
    </dataValidation>
  </dataValidation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2:J14"/>
  <sheetViews>
    <sheetView zoomScale="130" zoomScaleNormal="130" workbookViewId="0">
      <selection activeCell="C15" sqref="C15"/>
    </sheetView>
  </sheetViews>
  <sheetFormatPr baseColWidth="10" defaultColWidth="11" defaultRowHeight="15.6"/>
  <cols>
    <col width="19.296875" customWidth="1" min="4" max="5"/>
    <col width="17.19921875" customWidth="1" min="6" max="6"/>
    <col width="15.69921875" customWidth="1" min="7" max="9"/>
    <col width="32.296875" customWidth="1" min="10" max="10"/>
  </cols>
  <sheetData>
    <row r="2">
      <c r="C2" t="inlineStr">
        <is>
          <t>Defekte Geräte</t>
        </is>
      </c>
    </row>
    <row r="4">
      <c r="C4" t="inlineStr">
        <is>
          <t>Name</t>
        </is>
      </c>
      <c r="D4" t="inlineStr">
        <is>
          <t>Modellbezeichnung</t>
        </is>
      </c>
      <c r="E4" t="inlineStr">
        <is>
          <t>Farbe</t>
        </is>
      </c>
      <c r="F4" t="inlineStr">
        <is>
          <t>Modelnummer</t>
        </is>
      </c>
      <c r="G4" t="inlineStr">
        <is>
          <t>Seriennummer</t>
        </is>
      </c>
      <c r="H4" t="inlineStr">
        <is>
          <t>Defekt</t>
        </is>
      </c>
      <c r="I4" t="inlineStr">
        <is>
          <t>Nutzer</t>
        </is>
      </c>
      <c r="J4" t="inlineStr">
        <is>
          <t>Kommentar</t>
        </is>
      </c>
    </row>
    <row r="5">
      <c r="C5" t="inlineStr">
        <is>
          <t>Apple</t>
        </is>
      </c>
      <c r="D5" t="inlineStr">
        <is>
          <t>iPhone XS Max</t>
        </is>
      </c>
      <c r="E5" t="inlineStr">
        <is>
          <t>-</t>
        </is>
      </c>
      <c r="F5" t="inlineStr">
        <is>
          <t>NS183YF/S</t>
        </is>
      </c>
      <c r="G5" t="inlineStr">
        <is>
          <t>D1BXMR9UONQ5</t>
        </is>
      </c>
      <c r="H5" t="inlineStr">
        <is>
          <t>Ja</t>
        </is>
      </c>
      <c r="J5" t="inlineStr">
        <is>
          <t>Ursprünglicher Nutzer: Simon</t>
        </is>
      </c>
    </row>
    <row r="6">
      <c r="C6" t="inlineStr">
        <is>
          <t>Apple</t>
        </is>
      </c>
      <c r="D6" t="inlineStr">
        <is>
          <t>iPhone 12 Pro Max</t>
        </is>
      </c>
      <c r="E6" t="inlineStr">
        <is>
          <t>-</t>
        </is>
      </c>
      <c r="F6" t="inlineStr">
        <is>
          <t>UHRA5AK/W</t>
        </is>
      </c>
      <c r="G6" t="inlineStr">
        <is>
          <t>D2COP5W24R56</t>
        </is>
      </c>
      <c r="H6" t="inlineStr">
        <is>
          <t>Ja</t>
        </is>
      </c>
      <c r="J6" t="inlineStr">
        <is>
          <t>Ursprünglicher Nutzer: Simon</t>
        </is>
      </c>
    </row>
    <row r="7">
      <c r="C7" t="inlineStr">
        <is>
          <t>Apple</t>
        </is>
      </c>
      <c r="D7" t="inlineStr">
        <is>
          <t>iPhone X</t>
        </is>
      </c>
      <c r="E7" t="inlineStr">
        <is>
          <t>-</t>
        </is>
      </c>
      <c r="F7" t="inlineStr">
        <is>
          <t>BOLT8NP/V</t>
        </is>
      </c>
      <c r="G7" t="inlineStr">
        <is>
          <t>YFIRX9CZTUJ2</t>
        </is>
      </c>
      <c r="H7" t="inlineStr">
        <is>
          <t>Ja</t>
        </is>
      </c>
      <c r="J7" t="inlineStr">
        <is>
          <t>ursprunglicher Nutzer: Ben</t>
        </is>
      </c>
    </row>
    <row r="8">
      <c r="C8" t="inlineStr">
        <is>
          <t>Apple</t>
        </is>
      </c>
      <c r="D8" t="inlineStr">
        <is>
          <t>iPhone 11 Pro</t>
        </is>
      </c>
      <c r="E8" t="inlineStr">
        <is>
          <t>-</t>
        </is>
      </c>
      <c r="F8" t="inlineStr">
        <is>
          <t>KVSZ8OK/T</t>
        </is>
      </c>
      <c r="G8" t="inlineStr">
        <is>
          <t>Z46DBRV6Q5X0</t>
        </is>
      </c>
      <c r="H8" t="inlineStr">
        <is>
          <t>Ja</t>
        </is>
      </c>
      <c r="J8" t="inlineStr">
        <is>
          <t>ursprünglicher Nutzer: Ben</t>
        </is>
      </c>
    </row>
    <row r="9">
      <c r="C9" t="inlineStr">
        <is>
          <t>Apple</t>
        </is>
      </c>
      <c r="D9" t="inlineStr">
        <is>
          <t>iPhone 14 Pro</t>
        </is>
      </c>
      <c r="E9" t="inlineStr">
        <is>
          <t>-</t>
        </is>
      </c>
      <c r="F9" t="inlineStr">
        <is>
          <t>JZ8C2FO/L</t>
        </is>
      </c>
      <c r="G9" t="inlineStr">
        <is>
          <t>E1OKDM9XBP9</t>
        </is>
      </c>
      <c r="H9" t="inlineStr">
        <is>
          <t>Nein</t>
        </is>
      </c>
      <c r="J9" t="inlineStr">
        <is>
          <t>aktueller Nutzer: Simon</t>
        </is>
      </c>
    </row>
    <row r="10">
      <c r="C10" t="inlineStr">
        <is>
          <t>Apple</t>
        </is>
      </c>
      <c r="D10" t="inlineStr">
        <is>
          <t>iPhone 14 Pro</t>
        </is>
      </c>
      <c r="E10" t="inlineStr">
        <is>
          <t>-</t>
        </is>
      </c>
      <c r="F10" t="inlineStr">
        <is>
          <t>MD3T5BV/O</t>
        </is>
      </c>
      <c r="G10" t="inlineStr">
        <is>
          <t>WH60OC88A5</t>
        </is>
      </c>
      <c r="H10" t="inlineStr">
        <is>
          <t>Nein</t>
        </is>
      </c>
      <c r="J10" t="inlineStr">
        <is>
          <t>aktueller Nutzer: Ben</t>
        </is>
      </c>
    </row>
    <row r="11">
      <c r="C11" t="inlineStr">
        <is>
          <t>Apple</t>
        </is>
      </c>
      <c r="D11" t="inlineStr">
        <is>
          <t xml:space="preserve">iPhone X </t>
        </is>
      </c>
      <c r="E11" t="inlineStr">
        <is>
          <t>-</t>
        </is>
      </c>
      <c r="F11" t="inlineStr">
        <is>
          <t>VMFT77KQ/F</t>
        </is>
      </c>
      <c r="G11" t="inlineStr">
        <is>
          <t>BRFST00IFCB6</t>
        </is>
      </c>
      <c r="H11" t="inlineStr">
        <is>
          <t>Ja</t>
        </is>
      </c>
      <c r="J11" t="inlineStr">
        <is>
          <t>Ursprünglicher Nutzer: Jonas</t>
        </is>
      </c>
    </row>
    <row r="12">
      <c r="C12" t="inlineStr">
        <is>
          <t>Apple</t>
        </is>
      </c>
      <c r="D12" t="inlineStr">
        <is>
          <t>iPhone 13 Pro Max</t>
        </is>
      </c>
      <c r="E12" t="inlineStr">
        <is>
          <t>Sierra Blau</t>
        </is>
      </c>
      <c r="F12" t="inlineStr">
        <is>
          <t>SIK8JACJDH</t>
        </is>
      </c>
      <c r="G12" t="inlineStr">
        <is>
          <t>SIK8JACJDH</t>
        </is>
      </c>
      <c r="H12" t="inlineStr">
        <is>
          <t>Nein</t>
        </is>
      </c>
      <c r="J12" t="inlineStr">
        <is>
          <t>aktueller Nutzer: Jonas</t>
        </is>
      </c>
    </row>
    <row r="13">
      <c r="C13" t="inlineStr">
        <is>
          <t>Apple</t>
        </is>
      </c>
      <c r="D13" t="inlineStr">
        <is>
          <t>iPhone 15 Pro Max</t>
        </is>
      </c>
      <c r="E13" t="inlineStr">
        <is>
          <t>Weiß</t>
        </is>
      </c>
      <c r="F13" t="inlineStr">
        <is>
          <t>H7138</t>
        </is>
      </c>
      <c r="G13" t="inlineStr">
        <is>
          <t>LAHKIJNS89</t>
        </is>
      </c>
      <c r="H13" t="inlineStr">
        <is>
          <t>Nein</t>
        </is>
      </c>
      <c r="I13" t="inlineStr">
        <is>
          <t>Viktor</t>
        </is>
      </c>
    </row>
    <row r="14">
      <c r="C14" t="inlineStr">
        <is>
          <t>Apple</t>
        </is>
      </c>
      <c r="D14" t="inlineStr">
        <is>
          <t>iPhone 15 Pro Max</t>
        </is>
      </c>
      <c r="E14" t="inlineStr">
        <is>
          <t>Sand</t>
        </is>
      </c>
      <c r="F14" t="inlineStr">
        <is>
          <t>H7138</t>
        </is>
      </c>
      <c r="G14" t="inlineStr">
        <is>
          <t>AUCGXCP0BH</t>
        </is>
      </c>
      <c r="H14" t="inlineStr">
        <is>
          <t>Nein</t>
        </is>
      </c>
      <c r="I14" t="inlineStr">
        <is>
          <t>Marta</t>
        </is>
      </c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B2" zoomScale="116" workbookViewId="0">
      <selection activeCell="F8" sqref="F8"/>
    </sheetView>
  </sheetViews>
  <sheetFormatPr baseColWidth="10" defaultColWidth="11" defaultRowHeight="15.6"/>
  <cols>
    <col width="5" customWidth="1" min="2" max="2"/>
    <col width="46.796875" bestFit="1" customWidth="1" min="3" max="3"/>
    <col width="15" bestFit="1" customWidth="1" min="4" max="4"/>
    <col width="18.296875" bestFit="1" customWidth="1" min="5" max="5"/>
    <col width="25.5" bestFit="1" customWidth="1" min="6" max="7"/>
  </cols>
  <sheetData>
    <row r="1" ht="28.8" customHeight="1">
      <c r="A1" s="1" t="inlineStr">
        <is>
          <t>WMC Hardwarebestand</t>
        </is>
      </c>
    </row>
    <row r="2">
      <c r="A2" s="125" t="inlineStr">
        <is>
          <t xml:space="preserve">Änderungsdatum: </t>
        </is>
      </c>
      <c r="C2" s="28" t="n">
        <v>45573</v>
      </c>
    </row>
    <row r="4" ht="18" customHeight="1">
      <c r="B4" s="2" t="inlineStr">
        <is>
          <t>ID</t>
        </is>
      </c>
      <c r="C4" s="2" t="inlineStr">
        <is>
          <t>Gerät</t>
        </is>
      </c>
      <c r="D4" s="2" t="inlineStr">
        <is>
          <t>Gerätename</t>
        </is>
      </c>
      <c r="E4" s="2" t="inlineStr">
        <is>
          <t>Seriennummer</t>
        </is>
      </c>
      <c r="F4" s="2" t="inlineStr">
        <is>
          <t>Verliehen an MA</t>
        </is>
      </c>
      <c r="G4" s="2" t="inlineStr">
        <is>
          <t>Kommentar</t>
        </is>
      </c>
    </row>
    <row r="5">
      <c r="B5" s="3" t="n">
        <v>1</v>
      </c>
      <c r="C5" s="4" t="inlineStr">
        <is>
          <t>MacBook Pro (13-inch, 2018, Four Thunderbolt 3 Ports)</t>
        </is>
      </c>
      <c r="D5" s="4" t="inlineStr">
        <is>
          <t>WMC-NB-MB-01</t>
        </is>
      </c>
      <c r="E5" s="4" t="inlineStr">
        <is>
          <t>T36RQ88OPEM9</t>
        </is>
      </c>
      <c r="F5" s="4" t="n"/>
      <c r="G5" s="4" t="inlineStr">
        <is>
          <t>Defect</t>
        </is>
      </c>
    </row>
    <row r="6">
      <c r="B6" s="3" t="n">
        <v>2</v>
      </c>
      <c r="C6" s="4" t="inlineStr">
        <is>
          <t>MacBook Pro (13-inch, 2018, Four Thunderbolt 3 Ports)</t>
        </is>
      </c>
      <c r="D6" s="4" t="inlineStr">
        <is>
          <t>WMC-NB-MB-02</t>
        </is>
      </c>
      <c r="E6" s="5" t="inlineStr">
        <is>
          <t>A84AJ662FPQ3</t>
        </is>
      </c>
      <c r="F6" s="4" t="inlineStr">
        <is>
          <t>Henrik Lorenz</t>
        </is>
      </c>
      <c r="G6" s="4" t="n"/>
    </row>
    <row r="7">
      <c r="B7" s="3" t="n">
        <v>3</v>
      </c>
      <c r="C7" s="4" t="inlineStr">
        <is>
          <t>MacBook Pro (13-inch, 2018, Four Thunderbolt 3 Ports)</t>
        </is>
      </c>
      <c r="D7" s="4" t="inlineStr">
        <is>
          <t>WMC-NB-MB-03</t>
        </is>
      </c>
      <c r="E7" s="37" t="inlineStr">
        <is>
          <t>E33UC9RGRJU5</t>
        </is>
      </c>
      <c r="F7" s="4" t="inlineStr">
        <is>
          <t xml:space="preserve">Milan </t>
        </is>
      </c>
      <c r="G7" s="4" t="inlineStr">
        <is>
          <t>Am 11.12.2023 zurückgesetzt.</t>
        </is>
      </c>
    </row>
    <row r="8">
      <c r="B8" s="3" t="n">
        <v>4</v>
      </c>
      <c r="C8" s="4" t="inlineStr">
        <is>
          <t>Macbook Pro (13-inch, Mitte 2017)</t>
        </is>
      </c>
      <c r="D8" s="6" t="inlineStr">
        <is>
          <t>WMC-NB-MB-04</t>
        </is>
      </c>
      <c r="E8" s="4" t="inlineStr">
        <is>
          <t>X11RGXEYZFD4</t>
        </is>
      </c>
      <c r="F8" s="4" t="inlineStr">
        <is>
          <t>N.N.</t>
        </is>
      </c>
      <c r="G8" s="4" t="n"/>
    </row>
    <row r="9">
      <c r="B9" s="3" t="n">
        <v>5</v>
      </c>
      <c r="C9" s="4" t="inlineStr">
        <is>
          <t>Macbook Pro (13-inch, Mitte 2012)</t>
        </is>
      </c>
      <c r="D9" s="6" t="inlineStr">
        <is>
          <t>WMC-NB-MB-05</t>
        </is>
      </c>
      <c r="E9" t="inlineStr">
        <is>
          <t>Q5JV80D7FFF6</t>
        </is>
      </c>
      <c r="F9" s="4" t="inlineStr">
        <is>
          <t>N.N.</t>
        </is>
      </c>
      <c r="G9" s="4" t="inlineStr">
        <is>
          <t>Am 11.12.2023 zurückgesetzt.</t>
        </is>
      </c>
    </row>
    <row r="10">
      <c r="B10" s="3" t="n">
        <v>6</v>
      </c>
      <c r="C10" s="4" t="inlineStr">
        <is>
          <t>Macbook Pro 15 zoll</t>
        </is>
      </c>
      <c r="D10" s="6" t="inlineStr">
        <is>
          <t>WMC-NB-MB-06</t>
        </is>
      </c>
      <c r="E10" s="4" t="inlineStr">
        <is>
          <t>J58C17O3IH82</t>
        </is>
      </c>
      <c r="F10" s="4" t="inlineStr">
        <is>
          <t>Viktor Albrecht</t>
        </is>
      </c>
      <c r="G10" s="4" t="n"/>
    </row>
    <row r="11">
      <c r="B11" s="3" t="n">
        <v>7</v>
      </c>
      <c r="C11" s="4" t="inlineStr">
        <is>
          <t>Lenovo Thinkpad T480</t>
        </is>
      </c>
      <c r="D11" s="4" t="inlineStr">
        <is>
          <t>WMC-NB-L-01</t>
        </is>
      </c>
      <c r="E11" s="4" t="inlineStr">
        <is>
          <t>DL3CMDTB</t>
        </is>
      </c>
      <c r="F11" s="4" t="n"/>
      <c r="G11" s="4" t="inlineStr">
        <is>
          <t xml:space="preserve">Standortwechsel </t>
        </is>
      </c>
    </row>
    <row r="12">
      <c r="B12" s="3" t="n">
        <v>8</v>
      </c>
      <c r="C12" s="4" t="inlineStr">
        <is>
          <t>Lenovo Thinkpad T480</t>
        </is>
      </c>
      <c r="D12" s="4" t="inlineStr">
        <is>
          <t>WMC-NB-L-02</t>
        </is>
      </c>
      <c r="E12" s="4" t="inlineStr">
        <is>
          <t>TL1GU0XV</t>
        </is>
      </c>
      <c r="F12" s="4" t="inlineStr">
        <is>
          <t>N.N.</t>
        </is>
      </c>
      <c r="G12" s="4" t="inlineStr">
        <is>
          <t>Am 11.12.2023 zurückgesetzt.</t>
        </is>
      </c>
    </row>
    <row r="13">
      <c r="B13" s="3" t="n">
        <v>9</v>
      </c>
      <c r="C13" s="4" t="inlineStr">
        <is>
          <t>Lenovo Thinkpad T480</t>
        </is>
      </c>
      <c r="D13" s="4" t="inlineStr">
        <is>
          <t>WMC-NB-L-03</t>
        </is>
      </c>
      <c r="E13" s="4" t="inlineStr">
        <is>
          <t>KC8OYNHH</t>
        </is>
      </c>
      <c r="F13" s="4" t="inlineStr">
        <is>
          <t>Viktor Albrecht</t>
        </is>
      </c>
      <c r="G13" s="4" t="inlineStr">
        <is>
          <t xml:space="preserve">Standortwechsel </t>
        </is>
      </c>
    </row>
    <row r="14">
      <c r="B14" s="3" t="n">
        <v>10</v>
      </c>
      <c r="C14" s="4" t="inlineStr">
        <is>
          <t>Lenovo Thinkpad T480</t>
        </is>
      </c>
      <c r="D14" s="4" t="inlineStr">
        <is>
          <t>WMC-NB-L-04</t>
        </is>
      </c>
      <c r="E14" s="4" t="inlineStr">
        <is>
          <t>HS3FF5SJ</t>
        </is>
      </c>
      <c r="F14" s="4" t="inlineStr">
        <is>
          <t>Viktor Albrecht</t>
        </is>
      </c>
      <c r="G14" s="4" t="n"/>
    </row>
    <row r="15">
      <c r="B15" s="3" t="n">
        <v>11</v>
      </c>
      <c r="C15" s="4" t="inlineStr">
        <is>
          <t>iMac (Retina 5K, 27-inch, 2015)</t>
        </is>
      </c>
      <c r="D15" s="4" t="inlineStr">
        <is>
          <t>WMC-DT-IM-01</t>
        </is>
      </c>
      <c r="E15" s="4" t="inlineStr">
        <is>
          <t>S44Y59RJNU5O</t>
        </is>
      </c>
      <c r="F15" s="4" t="inlineStr">
        <is>
          <t>Viktor Albrecht</t>
        </is>
      </c>
      <c r="G15" s="4" t="n"/>
    </row>
    <row r="16">
      <c r="B16" s="3" t="n">
        <v>12</v>
      </c>
      <c r="C16" s="4" t="inlineStr">
        <is>
          <t>iMac (Retina 5K, 27-inch, 2017)</t>
        </is>
      </c>
      <c r="D16" s="4" t="inlineStr">
        <is>
          <t>WMC-DT-IM-02</t>
        </is>
      </c>
      <c r="E16" s="4" t="inlineStr">
        <is>
          <t>H41ZS1RTS2EE</t>
        </is>
      </c>
      <c r="F16" s="4" t="inlineStr">
        <is>
          <t>Marta Albrecht</t>
        </is>
      </c>
      <c r="G16" s="4" t="n"/>
    </row>
    <row r="17">
      <c r="B17" s="3" t="n">
        <v>13</v>
      </c>
      <c r="C17" s="4" t="inlineStr">
        <is>
          <t>Mac Studio</t>
        </is>
      </c>
      <c r="D17" s="4" t="inlineStr">
        <is>
          <t>WMC-Studio</t>
        </is>
      </c>
      <c r="E17" s="4" t="inlineStr">
        <is>
          <t>Y4CO2WPZPY</t>
        </is>
      </c>
      <c r="F17" s="4" t="inlineStr">
        <is>
          <t>-</t>
        </is>
      </c>
      <c r="G17" s="4" t="inlineStr">
        <is>
          <t xml:space="preserve">Standortwechsel </t>
        </is>
      </c>
    </row>
    <row r="18">
      <c r="B18" s="3" t="n">
        <v>14</v>
      </c>
      <c r="C18" s="4" t="inlineStr">
        <is>
          <t>iPad 11 Zoll 128 GB Silber</t>
        </is>
      </c>
      <c r="D18" s="4" t="inlineStr">
        <is>
          <t>WMC-I-2301</t>
        </is>
      </c>
      <c r="E18" s="4" t="inlineStr">
        <is>
          <t>M8066I9R2V</t>
        </is>
      </c>
      <c r="F18" s="4" t="n"/>
      <c r="G18" s="4" t="n"/>
    </row>
    <row r="19">
      <c r="B19" s="3" t="n">
        <v>15</v>
      </c>
      <c r="C19" s="4" t="inlineStr">
        <is>
          <t>iPad 11 Zoll 128 GB Space Grau</t>
        </is>
      </c>
      <c r="D19" s="4" t="inlineStr">
        <is>
          <t>WMC-I-2301</t>
        </is>
      </c>
      <c r="E19" s="4" t="inlineStr">
        <is>
          <t>V4LZT6S8CC</t>
        </is>
      </c>
      <c r="F19" s="4" t="n"/>
      <c r="G19" s="4" t="n"/>
    </row>
    <row r="20">
      <c r="B20" s="3" t="n">
        <v>16</v>
      </c>
      <c r="C20" s="4" t="inlineStr">
        <is>
          <t xml:space="preserve">Huawei Notebook </t>
        </is>
      </c>
      <c r="D20" s="4" t="inlineStr">
        <is>
          <t>WMC-MB-H-01</t>
        </is>
      </c>
      <c r="E20" s="4" t="n"/>
      <c r="F20" s="4" t="inlineStr">
        <is>
          <t>Viktor Albrecht</t>
        </is>
      </c>
      <c r="G20" s="4" t="n"/>
    </row>
    <row r="21">
      <c r="B21" s="3" t="n">
        <v>17</v>
      </c>
      <c r="C21" s="4" t="inlineStr">
        <is>
          <t>Huawei Monitor</t>
        </is>
      </c>
      <c r="D21" s="4" t="inlineStr">
        <is>
          <t>WMC-M-H-01</t>
        </is>
      </c>
      <c r="E21" s="4" t="n"/>
      <c r="F21" s="4" t="n"/>
      <c r="G21" s="4" t="n"/>
    </row>
    <row r="22">
      <c r="B22" s="3" t="n"/>
      <c r="C22" s="4" t="inlineStr">
        <is>
          <t>Huawei Maus</t>
        </is>
      </c>
      <c r="D22" s="4" t="inlineStr">
        <is>
          <t>WMC-HW-2012</t>
        </is>
      </c>
      <c r="E22" s="4" t="n"/>
      <c r="F22" s="4" t="n"/>
      <c r="G22" s="4" t="n"/>
    </row>
    <row r="23">
      <c r="B23" s="3" t="n">
        <v>18</v>
      </c>
      <c r="C23" s="4" t="inlineStr">
        <is>
          <t>Synnology Nas 12 TB</t>
        </is>
      </c>
      <c r="D23" s="4" t="inlineStr">
        <is>
          <t>WMC-NAS-01</t>
        </is>
      </c>
      <c r="E23" s="4" t="n"/>
      <c r="F23" s="4" t="n"/>
      <c r="G23" s="4" t="inlineStr">
        <is>
          <t>Im Serverschrank</t>
        </is>
      </c>
    </row>
    <row r="24">
      <c r="B24" s="3" t="n">
        <v>19</v>
      </c>
      <c r="C24" s="4" t="inlineStr">
        <is>
          <t>Synnology Nas 4 TB</t>
        </is>
      </c>
      <c r="D24" s="4" t="inlineStr">
        <is>
          <t>WMC-NAS-02</t>
        </is>
      </c>
      <c r="E24" s="4" t="n"/>
      <c r="F24" s="4" t="n"/>
      <c r="G24" s="4" t="inlineStr">
        <is>
          <t>Im Serverschrank</t>
        </is>
      </c>
    </row>
    <row r="25">
      <c r="B25" s="3" t="n">
        <v>20</v>
      </c>
      <c r="C25" s="4" t="inlineStr">
        <is>
          <t>Buffalo 4 TB</t>
        </is>
      </c>
      <c r="D25" s="4" t="inlineStr">
        <is>
          <t>WMC-NAS-03</t>
        </is>
      </c>
      <c r="E25" s="4" t="n"/>
      <c r="F25" s="4" t="n"/>
      <c r="G25" s="4" t="inlineStr">
        <is>
          <t>Im Serverschrank</t>
        </is>
      </c>
    </row>
    <row r="26">
      <c r="B26" s="3" t="n">
        <v>21</v>
      </c>
      <c r="C26" s="4" t="inlineStr">
        <is>
          <t>Huawei Matebook 16s</t>
        </is>
      </c>
      <c r="D26" s="4" t="inlineStr">
        <is>
          <t>WMC-H-02-AN</t>
        </is>
      </c>
      <c r="E26" s="4" t="inlineStr">
        <is>
          <t>PDWQL16871733423</t>
        </is>
      </c>
      <c r="F26" s="4" t="inlineStr">
        <is>
          <t>Aidan Novak</t>
        </is>
      </c>
      <c r="G26" s="4" t="n"/>
    </row>
    <row r="27">
      <c r="B27" s="3" t="n">
        <v>22</v>
      </c>
      <c r="C27" s="4" t="inlineStr">
        <is>
          <t>Huawei Matebook 16s</t>
        </is>
      </c>
      <c r="D27" s="4" t="inlineStr">
        <is>
          <t>WMC-H-03-TK</t>
        </is>
      </c>
      <c r="E27" s="4" t="inlineStr">
        <is>
          <t>IIIKL83948216773</t>
        </is>
      </c>
      <c r="F27" s="4" t="inlineStr">
        <is>
          <t>Ravi Mehta</t>
        </is>
      </c>
      <c r="G27" s="4" t="n"/>
    </row>
    <row r="28">
      <c r="B28" s="3" t="n">
        <v>23</v>
      </c>
      <c r="C28" s="4" t="inlineStr">
        <is>
          <t>Huawei Matebook 16s</t>
        </is>
      </c>
      <c r="D28" s="4" t="inlineStr">
        <is>
          <t>WMC-H-04-BH</t>
        </is>
      </c>
      <c r="E28" s="4" t="inlineStr">
        <is>
          <t>UTRSS32K25231114</t>
        </is>
      </c>
      <c r="F28" s="4" t="inlineStr">
        <is>
          <t>Ben Hartung</t>
        </is>
      </c>
      <c r="G28" s="4" t="n"/>
    </row>
    <row r="29">
      <c r="B29" s="3" t="n">
        <v>24</v>
      </c>
      <c r="C29" s="4" t="inlineStr">
        <is>
          <t>Huawei Matebook 16s</t>
        </is>
      </c>
      <c r="D29" s="4" t="inlineStr">
        <is>
          <t>WMC-H-05-SA</t>
        </is>
      </c>
      <c r="E29" s="4" t="inlineStr">
        <is>
          <t>GZRAP16I27513395</t>
        </is>
      </c>
      <c r="F29" s="4" t="inlineStr">
        <is>
          <t>Simon Albrecht</t>
        </is>
      </c>
      <c r="G29" s="4" t="n"/>
    </row>
    <row r="30">
      <c r="B30" s="3" t="n">
        <v>25</v>
      </c>
      <c r="C30" s="4" t="inlineStr">
        <is>
          <t>Huawei Matebook 16s</t>
        </is>
      </c>
      <c r="D30" s="4" t="inlineStr">
        <is>
          <t>WMC-H-06-JA</t>
        </is>
      </c>
      <c r="E30" s="4" t="inlineStr">
        <is>
          <t>NNKDR20271923016</t>
        </is>
      </c>
      <c r="F30" s="4" t="inlineStr">
        <is>
          <t>Jonas Albrecht</t>
        </is>
      </c>
      <c r="G30" s="4" t="n"/>
    </row>
    <row r="31">
      <c r="B31" s="3" t="n">
        <v>26</v>
      </c>
      <c r="C31" s="4" t="inlineStr">
        <is>
          <t>Huawei Matebook 16s</t>
        </is>
      </c>
      <c r="D31" s="4" t="inlineStr">
        <is>
          <t>WMC-H-07-MA</t>
        </is>
      </c>
      <c r="E31" s="4" t="inlineStr">
        <is>
          <t>ZVXXJ39298559968</t>
        </is>
      </c>
      <c r="F31" s="86" t="inlineStr">
        <is>
          <t>Arjun Sharma</t>
        </is>
      </c>
      <c r="G31" s="4" t="n"/>
    </row>
    <row r="32">
      <c r="B32" s="3" t="n">
        <v>27</v>
      </c>
      <c r="C32" s="4" t="inlineStr">
        <is>
          <t>Huawei Matebook 16s</t>
        </is>
      </c>
      <c r="D32" s="4" t="inlineStr">
        <is>
          <t>WMC-H-08</t>
        </is>
      </c>
      <c r="E32" s="4" t="inlineStr">
        <is>
          <t>KJEPO89463627925</t>
        </is>
      </c>
      <c r="F32" s="86" t="inlineStr">
        <is>
          <t>Marta Albrecht</t>
        </is>
      </c>
      <c r="G32" s="4" t="n"/>
    </row>
    <row r="33">
      <c r="B33" s="3" t="n">
        <v>28</v>
      </c>
      <c r="C33" s="4" t="inlineStr">
        <is>
          <t>Huawei Matebook 16s</t>
        </is>
      </c>
      <c r="D33" s="4" t="inlineStr">
        <is>
          <t>WMC-H-09</t>
        </is>
      </c>
      <c r="E33" s="4" t="inlineStr">
        <is>
          <t>PJUUT10988816546</t>
        </is>
      </c>
      <c r="F33" s="86" t="inlineStr">
        <is>
          <t>Theo Albrecht</t>
        </is>
      </c>
      <c r="G33" s="4" t="n"/>
    </row>
    <row r="34">
      <c r="B34" s="3" t="n">
        <v>29</v>
      </c>
      <c r="C34" s="4" t="n"/>
      <c r="D34" s="4" t="n"/>
      <c r="E34" s="4" t="n"/>
      <c r="F34" s="4" t="n"/>
      <c r="G34" s="4" t="n"/>
    </row>
    <row r="35">
      <c r="B35" s="3" t="n">
        <v>30</v>
      </c>
      <c r="C35" s="4" t="n"/>
      <c r="D35" s="4" t="n"/>
      <c r="E35" s="4" t="n"/>
      <c r="F35" s="4" t="n"/>
      <c r="G35" s="4" t="n"/>
    </row>
    <row r="36">
      <c r="B36" s="3" t="n">
        <v>31</v>
      </c>
      <c r="C36" s="4" t="n"/>
      <c r="D36" s="4" t="n"/>
      <c r="E36" s="4" t="n"/>
      <c r="F36" s="4" t="n"/>
      <c r="G36" s="4" t="n"/>
    </row>
  </sheetData>
  <mergeCells count="1">
    <mergeCell ref="A2:B2"/>
  </mergeCells>
  <pageMargins left="0.7" right="0.7" top="0.787401575" bottom="0.7874015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3:H16"/>
  <sheetViews>
    <sheetView workbookViewId="0">
      <selection activeCell="E26" sqref="E26"/>
    </sheetView>
  </sheetViews>
  <sheetFormatPr baseColWidth="10" defaultColWidth="11" defaultRowHeight="15.6"/>
  <cols>
    <col width="3.296875" bestFit="1" customWidth="1" min="3" max="3"/>
    <col width="46.796875" bestFit="1" customWidth="1" min="4" max="4"/>
    <col width="15" bestFit="1" customWidth="1" min="5" max="5"/>
    <col width="15.69921875" bestFit="1" customWidth="1" min="6" max="6"/>
    <col width="17.5" bestFit="1" customWidth="1" min="7" max="7"/>
    <col width="12.796875" bestFit="1" customWidth="1" min="8" max="8"/>
  </cols>
  <sheetData>
    <row r="3" ht="18" customHeight="1">
      <c r="C3" s="29" t="inlineStr">
        <is>
          <t>ID</t>
        </is>
      </c>
      <c r="D3" s="30" t="inlineStr">
        <is>
          <t>Gerät</t>
        </is>
      </c>
      <c r="E3" s="30" t="inlineStr">
        <is>
          <t>Gerätename</t>
        </is>
      </c>
      <c r="F3" s="30" t="inlineStr">
        <is>
          <t>Seriennummer</t>
        </is>
      </c>
      <c r="G3" s="30" t="inlineStr">
        <is>
          <t>Verliehen an MA</t>
        </is>
      </c>
      <c r="H3" s="30" t="inlineStr">
        <is>
          <t>Kommentar</t>
        </is>
      </c>
    </row>
    <row r="4">
      <c r="C4" s="31" t="n">
        <v>1</v>
      </c>
      <c r="D4" s="32" t="n"/>
      <c r="E4" s="32" t="n"/>
      <c r="F4" s="32" t="n"/>
      <c r="G4" s="32" t="n"/>
      <c r="H4" s="32" t="n"/>
    </row>
    <row r="5">
      <c r="C5" s="31" t="n">
        <v>2</v>
      </c>
      <c r="D5" s="32" t="n"/>
      <c r="E5" s="32" t="n"/>
      <c r="F5" s="32" t="n"/>
      <c r="G5" s="32" t="n"/>
      <c r="H5" s="32" t="n"/>
    </row>
    <row r="6">
      <c r="C6" s="31" t="n">
        <v>3</v>
      </c>
      <c r="D6" s="32" t="n"/>
      <c r="E6" s="32" t="n"/>
      <c r="F6" s="32" t="n"/>
      <c r="G6" s="32" t="n"/>
      <c r="H6" s="32" t="n"/>
    </row>
    <row r="7">
      <c r="C7" s="31" t="n">
        <v>4</v>
      </c>
      <c r="D7" s="32" t="n"/>
      <c r="E7" s="32" t="n"/>
      <c r="F7" s="32" t="n"/>
      <c r="G7" s="32" t="n"/>
      <c r="H7" s="32" t="n"/>
    </row>
    <row r="8">
      <c r="C8" s="31" t="n">
        <v>5</v>
      </c>
      <c r="D8" s="32" t="n"/>
      <c r="E8" s="32" t="n"/>
      <c r="F8" s="33" t="n"/>
      <c r="G8" s="34" t="n"/>
      <c r="H8" s="35" t="n"/>
    </row>
    <row r="9">
      <c r="C9" s="31" t="n">
        <v>6</v>
      </c>
      <c r="D9" s="32" t="n"/>
      <c r="E9" s="32" t="n"/>
      <c r="F9" s="36" t="n"/>
      <c r="G9" s="32" t="n"/>
      <c r="H9" s="32" t="n"/>
    </row>
    <row r="10">
      <c r="C10" s="31" t="n">
        <v>7</v>
      </c>
      <c r="D10" s="32" t="n"/>
      <c r="E10" s="32" t="n"/>
      <c r="F10" s="32" t="n"/>
      <c r="G10" s="32" t="n"/>
      <c r="H10" s="35" t="n"/>
    </row>
    <row r="11">
      <c r="C11" s="31" t="n">
        <v>8</v>
      </c>
      <c r="D11" s="32" t="n"/>
      <c r="E11" s="32" t="n"/>
      <c r="F11" s="32" t="n"/>
      <c r="G11" s="32" t="n"/>
      <c r="H11" s="32" t="n"/>
    </row>
    <row r="12">
      <c r="C12" s="31" t="n">
        <v>9</v>
      </c>
      <c r="D12" s="32" t="n"/>
      <c r="E12" s="32" t="n"/>
      <c r="F12" s="32" t="n"/>
      <c r="G12" s="32" t="n"/>
      <c r="H12" s="32" t="n"/>
    </row>
    <row r="13">
      <c r="C13" s="31" t="n">
        <v>10</v>
      </c>
      <c r="D13" s="32" t="n"/>
      <c r="E13" s="32" t="n"/>
      <c r="F13" s="32" t="n"/>
      <c r="G13" s="32" t="n"/>
      <c r="H13" s="32" t="n"/>
    </row>
    <row r="14">
      <c r="C14" s="31" t="n">
        <v>11</v>
      </c>
      <c r="D14" s="32" t="n"/>
      <c r="E14" s="32" t="n"/>
      <c r="F14" s="32" t="n"/>
      <c r="G14" s="32" t="n"/>
      <c r="H14" s="32" t="n"/>
    </row>
    <row r="15">
      <c r="C15" s="31" t="n">
        <v>12</v>
      </c>
      <c r="D15" s="32" t="n"/>
      <c r="E15" s="32" t="n"/>
      <c r="F15" s="32" t="n"/>
      <c r="G15" s="32" t="n"/>
      <c r="H15" s="32" t="n"/>
    </row>
    <row r="16">
      <c r="C16" s="31" t="n">
        <v>13</v>
      </c>
      <c r="D16" s="32" t="n"/>
      <c r="E16" s="32" t="n"/>
      <c r="F16" s="32" t="n"/>
      <c r="G16" s="32" t="n"/>
      <c r="H16" s="32" t="n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WMC Inventar (anonymisiert)</dc:creator>
  <dc:title xmlns:dc="http://purl.org/dc/elements/1.1/">Bestandsliste, anonymisierte Testfassung</dc:title>
  <dcterms:created xmlns:dcterms="http://purl.org/dc/terms/" xmlns:xsi="http://www.w3.org/2001/XMLSchema-instance" xsi:type="dcterms:W3CDTF">2020-09-03T11:15:01Z</dcterms:created>
  <dcterms:modified xmlns:dcterms="http://purl.org/dc/terms/" xmlns:xsi="http://www.w3.org/2001/XMLSchema-instance" xsi:type="dcterms:W3CDTF">2026-10-22T14:32:01Z</dcterms:modified>
  <cp:lastModifiedBy>WMC Inventar (anonymisiert)</cp:lastModifiedBy>
</cp:coreProperties>
</file>